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4779" documentId="13_ncr:1_{1FFCA2AD-14E4-4B9A-98FB-D1DA18665813}" xr6:coauthVersionLast="47" xr6:coauthVersionMax="47" xr10:uidLastSave="{BEA7BFC8-2946-4234-9DA4-B0C42C99C4BD}"/>
  <bookViews>
    <workbookView xWindow="-28920" yWindow="-120" windowWidth="29040" windowHeight="15720" tabRatio="665" firstSheet="2" activeTab="2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DEMO NOV" sheetId="12" r:id="rId6"/>
    <sheet name="CUSTOS" sheetId="13" r:id="rId7"/>
    <sheet name="Planilha1" sheetId="14" r:id="rId8"/>
  </sheets>
  <definedNames>
    <definedName name="_xlnm._FilterDatabase" localSheetId="6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pivotCaches>
    <pivotCache cacheId="4983" r:id="rId9"/>
    <pivotCache cacheId="498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7" l="1"/>
  <c r="E105" i="7"/>
  <c r="E104" i="7"/>
  <c r="L104" i="7"/>
  <c r="L105" i="7"/>
  <c r="L106" i="7"/>
  <c r="E103" i="7"/>
  <c r="L103" i="7"/>
  <c r="E28" i="14"/>
  <c r="E29" i="14"/>
  <c r="E30" i="14"/>
  <c r="E31" i="14"/>
  <c r="E32" i="14"/>
  <c r="E33" i="14"/>
  <c r="E27" i="14"/>
  <c r="E26" i="14"/>
  <c r="P8" i="14"/>
  <c r="Q8" i="14" s="1"/>
  <c r="P7" i="14"/>
  <c r="Q7" i="14" s="1"/>
  <c r="O8" i="14"/>
  <c r="O7" i="14"/>
  <c r="C13" i="14"/>
  <c r="D13" i="14"/>
  <c r="E13" i="14"/>
  <c r="F13" i="14"/>
  <c r="G13" i="14"/>
  <c r="B13" i="14"/>
  <c r="C4" i="13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C35" i="4"/>
  <c r="E71" i="4"/>
  <c r="T90" i="4"/>
  <c r="T89" i="4"/>
  <c r="T88" i="4"/>
  <c r="U88" i="4" s="1" a="1"/>
  <c r="U88" i="4" s="1"/>
  <c r="T87" i="4"/>
  <c r="U87" i="4" s="1" a="1"/>
  <c r="U87" i="4" s="1"/>
  <c r="C57" i="4"/>
  <c r="C58" i="4"/>
  <c r="C59" i="4"/>
  <c r="C66" i="4"/>
  <c r="C60" i="4"/>
  <c r="E66" i="4"/>
  <c r="E65" i="4"/>
  <c r="C65" i="4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AX7" i="13"/>
  <c r="AZ3" i="13" s="1"/>
  <c r="AX8" i="13"/>
  <c r="AZ4" i="13" s="1"/>
  <c r="C40" i="4"/>
  <c r="C34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71" i="7"/>
  <c r="L72" i="7"/>
  <c r="D22" i="13"/>
  <c r="L53" i="7"/>
  <c r="L3" i="7"/>
  <c r="L4" i="7"/>
  <c r="L2" i="7"/>
  <c r="L6" i="7"/>
  <c r="L11" i="7"/>
  <c r="L10" i="7"/>
  <c r="L12" i="7"/>
  <c r="L8" i="7"/>
  <c r="L7" i="7"/>
  <c r="L9" i="7"/>
  <c r="L5" i="7"/>
  <c r="L13" i="7"/>
  <c r="L15" i="7"/>
  <c r="L18" i="7"/>
  <c r="L14" i="7"/>
  <c r="L19" i="7"/>
  <c r="L16" i="7"/>
  <c r="L20" i="7"/>
  <c r="L17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7" i="7"/>
  <c r="L38" i="7"/>
  <c r="L35" i="7"/>
  <c r="L36" i="7"/>
  <c r="L34" i="7"/>
  <c r="L39" i="7"/>
  <c r="L42" i="7"/>
  <c r="L43" i="7"/>
  <c r="L44" i="7"/>
  <c r="L45" i="7"/>
  <c r="L46" i="7"/>
  <c r="L47" i="7"/>
  <c r="L48" i="7"/>
  <c r="L49" i="7"/>
  <c r="L50" i="7"/>
  <c r="L51" i="7"/>
  <c r="L40" i="7"/>
  <c r="L41" i="7"/>
  <c r="L59" i="7"/>
  <c r="L60" i="7"/>
  <c r="L65" i="7"/>
  <c r="L77" i="7"/>
  <c r="L64" i="7"/>
  <c r="L74" i="7"/>
  <c r="L66" i="7"/>
  <c r="L78" i="7"/>
  <c r="L79" i="7"/>
  <c r="L70" i="7"/>
  <c r="L73" i="7"/>
  <c r="L67" i="7"/>
  <c r="L68" i="7"/>
  <c r="L69" i="7"/>
  <c r="L75" i="7"/>
  <c r="L76" i="7"/>
  <c r="L80" i="7"/>
  <c r="L54" i="7"/>
  <c r="L55" i="7"/>
  <c r="L56" i="7"/>
  <c r="L57" i="7"/>
  <c r="L58" i="7"/>
  <c r="L52" i="7"/>
  <c r="L61" i="7"/>
  <c r="L62" i="7"/>
  <c r="L63" i="7"/>
  <c r="L81" i="7"/>
  <c r="L83" i="7"/>
  <c r="L82" i="7"/>
  <c r="L84" i="7"/>
  <c r="L85" i="7"/>
  <c r="L86" i="7"/>
  <c r="L87" i="7"/>
  <c r="L88" i="7"/>
  <c r="L89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E45" i="4"/>
  <c r="E44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8" i="4"/>
  <c r="E87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5" i="4"/>
  <c r="T56" i="4"/>
  <c r="T57" i="4"/>
  <c r="T58" i="4"/>
  <c r="T59" i="4"/>
  <c r="T60" i="4"/>
  <c r="T61" i="4"/>
  <c r="T62" i="4"/>
  <c r="T63" i="4"/>
  <c r="T64" i="4"/>
  <c r="T65" i="4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T72" i="4"/>
  <c r="U72" i="4" s="1" a="1"/>
  <c r="U72" i="4" s="1"/>
  <c r="T73" i="4"/>
  <c r="T74" i="4"/>
  <c r="U74" i="4" s="1" a="1"/>
  <c r="U74" i="4" s="1"/>
  <c r="T75" i="4"/>
  <c r="U75" i="4" s="1" a="1"/>
  <c r="U75" i="4" s="1"/>
  <c r="T76" i="4"/>
  <c r="U76" i="4" s="1" a="1"/>
  <c r="U76" i="4" s="1"/>
  <c r="T77" i="4"/>
  <c r="T78" i="4"/>
  <c r="T79" i="4"/>
  <c r="T80" i="4"/>
  <c r="T81" i="4"/>
  <c r="T82" i="4"/>
  <c r="T83" i="4"/>
  <c r="T84" i="4"/>
  <c r="T85" i="4"/>
  <c r="T86" i="4"/>
  <c r="E76" i="4"/>
  <c r="C76" i="4"/>
  <c r="E75" i="4"/>
  <c r="C75" i="4"/>
  <c r="E74" i="4"/>
  <c r="C74" i="4"/>
  <c r="E72" i="4"/>
  <c r="C72" i="4"/>
  <c r="E73" i="4"/>
  <c r="C73" i="4"/>
  <c r="C45" i="4"/>
  <c r="C44" i="4"/>
  <c r="C49" i="4"/>
  <c r="C50" i="4"/>
  <c r="N118" i="10"/>
  <c r="E74" i="7" s="1"/>
  <c r="N204" i="10"/>
  <c r="N205" i="10"/>
  <c r="N206" i="10"/>
  <c r="N207" i="10"/>
  <c r="C38" i="4"/>
  <c r="E82" i="4"/>
  <c r="E81" i="4"/>
  <c r="E78" i="4"/>
  <c r="E77" i="4"/>
  <c r="E69" i="4"/>
  <c r="E68" i="4"/>
  <c r="E67" i="4"/>
  <c r="E70" i="4"/>
  <c r="E41" i="4"/>
  <c r="E40" i="4"/>
  <c r="C82" i="4"/>
  <c r="C81" i="4"/>
  <c r="C83" i="4"/>
  <c r="C84" i="4"/>
  <c r="C78" i="4"/>
  <c r="C77" i="4"/>
  <c r="C79" i="4"/>
  <c r="C80" i="4"/>
  <c r="C69" i="4"/>
  <c r="C68" i="4"/>
  <c r="C67" i="4"/>
  <c r="C70" i="4"/>
  <c r="C71" i="4"/>
  <c r="C85" i="4"/>
  <c r="C86" i="4"/>
  <c r="C41" i="4"/>
  <c r="C42" i="4"/>
  <c r="C43" i="4"/>
  <c r="T54" i="4"/>
  <c r="E31" i="4"/>
  <c r="C31" i="4"/>
  <c r="C39" i="4"/>
  <c r="T53" i="4"/>
  <c r="C48" i="4"/>
  <c r="E46" i="4"/>
  <c r="C46" i="4"/>
  <c r="T50" i="4"/>
  <c r="T51" i="4"/>
  <c r="T52" i="4"/>
  <c r="T39" i="4"/>
  <c r="T40" i="4"/>
  <c r="U40" i="4" s="1" a="1"/>
  <c r="U40" i="4" s="1"/>
  <c r="T41" i="4"/>
  <c r="U41" i="4" s="1" a="1"/>
  <c r="U41" i="4" s="1"/>
  <c r="T42" i="4"/>
  <c r="T43" i="4"/>
  <c r="T44" i="4"/>
  <c r="U44" i="4" s="1" a="1"/>
  <c r="U44" i="4" s="1"/>
  <c r="T45" i="4"/>
  <c r="U45" i="4" s="1" a="1"/>
  <c r="U45" i="4" s="1"/>
  <c r="T46" i="4"/>
  <c r="U46" i="4" s="1" a="1"/>
  <c r="U46" i="4" s="1"/>
  <c r="T47" i="4"/>
  <c r="T48" i="4"/>
  <c r="T49" i="4"/>
  <c r="C55" i="4"/>
  <c r="C51" i="4"/>
  <c r="C30" i="4"/>
  <c r="E30" i="4"/>
  <c r="C53" i="4"/>
  <c r="C56" i="4"/>
  <c r="C54" i="4"/>
  <c r="C52" i="4"/>
  <c r="C36" i="4"/>
  <c r="C37" i="4"/>
  <c r="T34" i="4"/>
  <c r="U34" i="4" s="1" a="1"/>
  <c r="U34" i="4" s="1"/>
  <c r="T35" i="4"/>
  <c r="U35" i="4" s="1" a="1"/>
  <c r="U35" i="4" s="1"/>
  <c r="T36" i="4"/>
  <c r="T37" i="4"/>
  <c r="T38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8" i="4"/>
  <c r="C87" i="4"/>
  <c r="C47" i="4"/>
  <c r="C64" i="4"/>
  <c r="C63" i="4"/>
  <c r="C90" i="4"/>
  <c r="C89" i="4"/>
  <c r="C62" i="4"/>
  <c r="C61" i="4"/>
  <c r="C29" i="4"/>
  <c r="C4" i="4"/>
  <c r="E29" i="4"/>
  <c r="E10" i="4"/>
  <c r="E9" i="4"/>
  <c r="E12" i="4"/>
  <c r="E13" i="4"/>
  <c r="E18" i="4"/>
  <c r="E20" i="4"/>
  <c r="E19" i="4"/>
  <c r="H10" i="13" s="1"/>
  <c r="E25" i="4"/>
  <c r="E22" i="4"/>
  <c r="H14" i="13" s="1"/>
  <c r="E24" i="4"/>
  <c r="E23" i="4"/>
  <c r="E32" i="4"/>
  <c r="E33" i="4"/>
  <c r="E62" i="4"/>
  <c r="E61" i="4"/>
  <c r="T21" i="4"/>
  <c r="T22" i="4"/>
  <c r="T23" i="4"/>
  <c r="T24" i="4"/>
  <c r="U24" i="4" s="1" a="1"/>
  <c r="U24" i="4" s="1"/>
  <c r="T25" i="4"/>
  <c r="U25" i="4" s="1" a="1"/>
  <c r="U25" i="4" s="1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2" i="4"/>
  <c r="U32" i="4" s="1" a="1"/>
  <c r="U32" i="4" s="1"/>
  <c r="T33" i="4"/>
  <c r="U33" i="4" s="1" a="1"/>
  <c r="U33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6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41" i="7" s="1"/>
  <c r="N151" i="10"/>
  <c r="N54" i="10"/>
  <c r="E2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7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5" i="7" s="1"/>
  <c r="N131" i="10"/>
  <c r="N72" i="10"/>
  <c r="N71" i="10"/>
  <c r="N70" i="10"/>
  <c r="N175" i="10"/>
  <c r="N174" i="10"/>
  <c r="N150" i="10"/>
  <c r="E77" i="7" s="1"/>
  <c r="N180" i="10"/>
  <c r="N179" i="10"/>
  <c r="N178" i="10"/>
  <c r="N140" i="10"/>
  <c r="N139" i="10"/>
  <c r="N132" i="10"/>
  <c r="E65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4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0" i="7" s="1"/>
  <c r="N27" i="10"/>
  <c r="N2" i="10"/>
  <c r="N66" i="10"/>
  <c r="N127" i="10"/>
  <c r="E52" i="7" s="1"/>
  <c r="N122" i="10"/>
  <c r="N157" i="10"/>
  <c r="N59" i="10"/>
  <c r="N78" i="10"/>
  <c r="N138" i="10"/>
  <c r="E18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93" i="7" l="1"/>
  <c r="E94" i="7"/>
  <c r="E95" i="7"/>
  <c r="E96" i="7"/>
  <c r="E97" i="7"/>
  <c r="E98" i="7"/>
  <c r="E99" i="7"/>
  <c r="E100" i="7"/>
  <c r="E101" i="7"/>
  <c r="E102" i="7"/>
  <c r="E90" i="7"/>
  <c r="E91" i="7"/>
  <c r="E92" i="7"/>
  <c r="U37" i="4" a="1"/>
  <c r="U37" i="4" s="1"/>
  <c r="U48" i="4" a="1"/>
  <c r="U48" i="4" s="1"/>
  <c r="U39" i="4" a="1"/>
  <c r="U39" i="4" s="1"/>
  <c r="U83" i="4" a="1"/>
  <c r="U83" i="4" s="1"/>
  <c r="U80" i="4" a="1"/>
  <c r="U80" i="4" s="1"/>
  <c r="U36" i="4" a="1"/>
  <c r="U36" i="4" s="1"/>
  <c r="U79" i="4" a="1"/>
  <c r="U79" i="4" s="1"/>
  <c r="U38" i="4" a="1"/>
  <c r="U38" i="4" s="1"/>
  <c r="U84" i="4" a="1"/>
  <c r="U84" i="4" s="1"/>
  <c r="U73" i="4" a="1"/>
  <c r="U73" i="4" s="1"/>
  <c r="U65" i="4" a="1"/>
  <c r="U65" i="4" s="1"/>
  <c r="U60" i="4" a="1"/>
  <c r="U60" i="4" s="1"/>
  <c r="U59" i="4" a="1"/>
  <c r="U59" i="4" s="1"/>
  <c r="U89" i="4" a="1"/>
  <c r="U89" i="4" s="1"/>
  <c r="U90" i="4" a="1"/>
  <c r="U90" i="4" s="1"/>
  <c r="AO6" i="13"/>
  <c r="AP6" i="13"/>
  <c r="J4" i="13"/>
  <c r="U53" i="4" a="1"/>
  <c r="U53" i="4" s="1"/>
  <c r="U52" i="4" a="1"/>
  <c r="U52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8" i="4" a="1"/>
  <c r="U78" i="4" s="1"/>
  <c r="U12" i="4" a="1"/>
  <c r="U12" i="4" s="1"/>
  <c r="U47" i="4" a="1"/>
  <c r="U47" i="4" s="1"/>
  <c r="U85" i="4" a="1"/>
  <c r="U85" i="4" s="1"/>
  <c r="U77" i="4" a="1"/>
  <c r="U77" i="4" s="1"/>
  <c r="K4" i="13"/>
  <c r="U51" i="4" a="1"/>
  <c r="U51" i="4" s="1"/>
  <c r="U50" i="4" a="1"/>
  <c r="U50" i="4" s="1"/>
  <c r="U82" i="4" a="1"/>
  <c r="U82" i="4" s="1"/>
  <c r="U43" i="4" a="1"/>
  <c r="U43" i="4" s="1"/>
  <c r="U81" i="4" a="1"/>
  <c r="U81" i="4" s="1"/>
  <c r="U7" i="4" a="1"/>
  <c r="U7" i="4" s="1"/>
  <c r="U42" i="4" a="1"/>
  <c r="U42" i="4" s="1"/>
  <c r="U9" i="4" a="1"/>
  <c r="U9" i="4" s="1"/>
  <c r="U6" i="4" a="1"/>
  <c r="U6" i="4" s="1"/>
  <c r="U49" i="4" a="1"/>
  <c r="U49" i="4" s="1"/>
  <c r="U71" i="4" a="1"/>
  <c r="U71" i="4" s="1"/>
  <c r="Y4" i="13"/>
  <c r="Y3" i="13"/>
  <c r="AZ7" i="13" s="1"/>
  <c r="W3" i="13"/>
  <c r="W4" i="13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70" i="7"/>
  <c r="E68" i="7"/>
  <c r="E69" i="7"/>
  <c r="E73" i="7"/>
  <c r="E64" i="7"/>
  <c r="E42" i="7"/>
  <c r="E44" i="7"/>
  <c r="E43" i="7"/>
  <c r="E51" i="7"/>
  <c r="E49" i="7"/>
  <c r="E48" i="7"/>
  <c r="E46" i="7"/>
  <c r="E50" i="7"/>
  <c r="E47" i="7"/>
  <c r="E45" i="7"/>
  <c r="U86" i="4" a="1"/>
  <c r="U86" i="4" s="1"/>
  <c r="E53" i="7"/>
  <c r="E54" i="7"/>
  <c r="E55" i="7"/>
  <c r="E56" i="7"/>
  <c r="E57" i="7"/>
  <c r="E58" i="7"/>
  <c r="E79" i="7"/>
  <c r="E78" i="7"/>
  <c r="E75" i="7"/>
  <c r="E76" i="7"/>
  <c r="U61" i="4" a="1"/>
  <c r="U61" i="4" s="1"/>
  <c r="U64" i="4" a="1"/>
  <c r="U64" i="4" s="1"/>
  <c r="U62" i="4" a="1"/>
  <c r="U62" i="4" s="1"/>
  <c r="U63" i="4" a="1"/>
  <c r="U63" i="4" s="1"/>
  <c r="U54" i="4" a="1"/>
  <c r="U54" i="4" s="1"/>
  <c r="E71" i="7"/>
  <c r="E72" i="7"/>
  <c r="E61" i="7"/>
  <c r="E62" i="7"/>
  <c r="E63" i="7"/>
  <c r="U57" i="4" a="1"/>
  <c r="U57" i="4" s="1"/>
  <c r="U55" i="4" a="1"/>
  <c r="U55" i="4" s="1"/>
  <c r="U23" i="4" a="1"/>
  <c r="U23" i="4" s="1"/>
  <c r="E89" i="7"/>
  <c r="E81" i="7"/>
  <c r="E83" i="7"/>
  <c r="E82" i="7"/>
  <c r="E84" i="7"/>
  <c r="E85" i="7"/>
  <c r="E86" i="7"/>
  <c r="E87" i="7"/>
  <c r="E88" i="7"/>
  <c r="U56" i="4" a="1"/>
  <c r="U56" i="4" s="1"/>
  <c r="U58" i="4" a="1"/>
  <c r="U58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31" i="7"/>
  <c r="E32" i="7"/>
  <c r="E60" i="7"/>
  <c r="E36" i="7"/>
  <c r="E37" i="7"/>
  <c r="E38" i="7"/>
  <c r="E17" i="7"/>
  <c r="E16" i="7"/>
  <c r="E33" i="7"/>
  <c r="E35" i="7"/>
  <c r="E34" i="7"/>
  <c r="E22" i="7"/>
  <c r="E23" i="7"/>
  <c r="E59" i="7"/>
  <c r="E20" i="7"/>
  <c r="E19" i="7"/>
  <c r="E7" i="7"/>
  <c r="E8" i="7"/>
  <c r="E9" i="7"/>
  <c r="E10" i="7"/>
  <c r="E11" i="7"/>
  <c r="E12" i="7"/>
  <c r="E6" i="7"/>
  <c r="E13" i="7"/>
  <c r="E30" i="7"/>
  <c r="E28" i="7"/>
  <c r="E15" i="7"/>
  <c r="E21" i="7"/>
  <c r="E25" i="7"/>
  <c r="E26" i="7"/>
  <c r="E27" i="7"/>
  <c r="E29" i="7"/>
  <c r="E3" i="7"/>
  <c r="E4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AY7" i="13" l="1"/>
  <c r="Z4" i="13"/>
  <c r="Z3" i="13"/>
  <c r="BF3" i="13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BB7" i="13"/>
  <c r="AY8" i="13"/>
  <c r="AZ8" i="13"/>
  <c r="BB8" i="13" s="1"/>
  <c r="BA4" i="13" s="1"/>
  <c r="G4" i="13"/>
  <c r="F4" i="13"/>
  <c r="E6" i="13"/>
  <c r="E4" i="13" s="1"/>
  <c r="L3" i="13"/>
  <c r="D6" i="13"/>
  <c r="D4" i="13" s="1"/>
  <c r="K3" i="13"/>
  <c r="C6" i="13"/>
  <c r="I12" i="13"/>
  <c r="I10" i="13"/>
  <c r="BH3" i="13" l="1"/>
  <c r="T3" i="13" s="1"/>
  <c r="S3" i="13"/>
  <c r="BA3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<sst xmlns="http://schemas.openxmlformats.org/spreadsheetml/2006/main" count="4046" uniqueCount="1474">
  <si>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</si>
  <si>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</si>
  <si>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</si>
  <si>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</si>
  <si>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</si>
  <si>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</si>
  <si>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</si>
  <si>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</si>
  <si>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</si>
  <si>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</si>
  <si>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</si>
  <si>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</si>
  <si>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</si>
  <si>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</si>
  <si>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</si>
  <si>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</si>
  <si>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</si>
  <si>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</si>
  <si>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</si>
  <si>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</si>
  <si>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</si>
  <si>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</si>
  <si>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</si>
  <si>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</si>
  <si>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</si>
  <si>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</si>
  <si>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</si>
  <si>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</si>
  <si>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</si>
  <si>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</si>
  <si>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</si>
  <si>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</si>
  <si>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</si>
  <si>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</si>
  <si>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</si>
  <si>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</si>
  <si>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</si>
  <si>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</si>
  <si>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</si>
  <si>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</si>
  <si>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</si>
  <si>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</si>
  <si>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</si>
  <si>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</si>
  <si>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</si>
  <si>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</si>
  <si>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</si>
  <si>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</si>
  <si>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</si>
  <si>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</si>
  <si>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</si>
  <si>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</si>
  <si>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</si>
  <si>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</si>
  <si>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</si>
  <si>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</si>
  <si>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</si>
  <si>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</si>
  <si>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</si>
  <si>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</si>
  <si>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</si>
  <si>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</si>
  <si>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</si>
  <si>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</si>
  <si>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</si>
  <si>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</si>
  <si>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</si>
  <si>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</si>
  <si>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</si>
  <si>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</si>
  <si>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</si>
  <si>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</si>
  <si>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</si>
  <si>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</si>
  <si>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</si>
  <si>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</si>
  <si>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</si>
  <si>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</si>
  <si>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</si>
  <si>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</si>
  <si>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</si>
  <si>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</si>
  <si>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</si>
  <si>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</si>
  <si>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</si>
  <si>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</si>
  <si>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</si>
  <si>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</si>
  <si>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</si>
  <si>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</si>
  <si>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</si>
  <si>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</si>
  <si>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</si>
  <si>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</si>
  <si>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</si>
  <si>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</si>
  <si>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</si>
  <si>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</si>
  <si>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</si>
  <si>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</si>
  <si>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</si>
  <si>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</si>
  <si>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</si>
  <si>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</si>
  <si>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</si>
  <si>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</si>
  <si>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</si>
  <si>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</si>
  <si>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</si>
  <si>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</si>
  <si>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</si>
  <si>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</si>
  <si>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</si>
  <si>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</si>
  <si>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</si>
  <si>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</si>
  <si>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</si>
  <si>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</si>
  <si>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</si>
  <si>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</si>
  <si>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</si>
  <si>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</si>
  <si>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</si>
  <si>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</si>
  <si>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</si>
  <si>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</si>
  <si>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</si>
  <si>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</si>
  <si>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</si>
  <si>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</si>
  <si>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</si>
  <si>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</si>
  <si>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</si>
  <si>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</si>
  <si>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</si>
  <si>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</si>
  <si>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</si>
  <si>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</si>
  <si>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</si>
  <si>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</si>
  <si>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</si>
  <si>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</si>
  <si>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</si>
  <si>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</si>
  <si>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</si>
  <si>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</si>
  <si>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</si>
  <si>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</si>
  <si>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</si>
  <si>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</si>
  <si>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</si>
  <si>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</si>
  <si>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</si>
  <si>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</si>
  <si>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</si>
  <si>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</si>
  <si>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</si>
  <si>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</si>
  <si>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</si>
  <si>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</si>
  <si>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</si>
  <si>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</si>
  <si>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</si>
  <si>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</si>
  <si>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</si>
  <si>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</si>
  <si>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</si>
  <si>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</si>
  <si>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</si>
  <si>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</si>
  <si>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</si>
  <si>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</si>
  <si>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</si>
  <si>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</si>
  <si>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</si>
  <si>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</si>
  <si>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</si>
  <si>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</si>
  <si>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</si>
  <si>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</si>
  <si>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</si>
  <si>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</si>
  <si>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</si>
  <si>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</si>
  <si>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</si>
  <si>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</si>
  <si>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</si>
  <si>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</si>
  <si>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</si>
  <si>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</si>
  <si>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</si>
  <si>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</si>
  <si>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</si>
  <si>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</si>
  <si>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</si>
  <si>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</si>
  <si>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</si>
  <si>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</si>
  <si>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</si>
  <si>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</si>
  <si>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</si>
  <si>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</si>
  <si>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</si>
  <si>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</si>
  <si>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</si>
  <si>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</si>
  <si>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</si>
  <si>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</si>
  <si>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</si>
  <si>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</si>
  <si>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</si>
  <si>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</si>
  <si>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</si>
  <si>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</si>
  <si>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</si>
  <si>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</si>
  <si>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</si>
  <si>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</si>
  <si>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</si>
  <si>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</si>
  <si>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</si>
  <si>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</si>
  <si>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</si>
  <si>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</si>
  <si>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</si>
  <si>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</si>
  <si>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</si>
  <si>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</si>
  <si>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</si>
  <si>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</si>
  <si>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</si>
  <si>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</si>
  <si>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</si>
  <si>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</si>
  <si>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</si>
  <si>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</si>
  <si>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</si>
  <si>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</si>
  <si>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</si>
  <si>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</si>
  <si>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</si>
  <si>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</si>
  <si>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</si>
  <si>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</si>
  <si>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</si>
  <si>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</si>
  <si>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</si>
  <si>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</si>
  <si>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</si>
  <si>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</si>
  <si>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</si>
  <si>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</si>
  <si>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</si>
  <si>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</si>
  <si>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</si>
  <si>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</si>
  <si>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</si>
  <si>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</si>
  <si>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</si>
  <si>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</si>
  <si>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</si>
  <si>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</si>
  <si>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</si>
  <si>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</si>
  <si>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</si>
  <si>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</si>
  <si>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</si>
  <si>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</si>
  <si>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</si>
  <si>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</si>
  <si>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</si>
  <si>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</si>
  <si>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</si>
  <si>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</si>
  <si>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</si>
  <si>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</si>
  <si>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</si>
  <si>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</si>
  <si>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</si>
  <si>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</si>
  <si>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</si>
  <si>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</si>
  <si>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</si>
  <si>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</si>
  <si>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</si>
  <si>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</si>
  <si>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</si>
  <si>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</si>
  <si>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</si>
  <si>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</si>
  <si>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</si>
  <si>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</si>
  <si>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</si>
  <si>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</si>
  <si>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</si>
  <si>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</si>
  <si>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</si>
  <si>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</si>
  <si>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</si>
  <si>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</si>
  <si>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</si>
  <si>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</si>
  <si>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</si>
  <si>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</si>
  <si>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</si>
  <si>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</si>
  <si>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</si>
  <si>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</si>
  <si>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</si>
  <si>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</si>
  <si>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</si>
  <si>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</si>
  <si>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</si>
  <si>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</si>
  <si>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</si>
  <si>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</si>
  <si>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</si>
  <si>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</si>
  <si>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</si>
  <si>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</si>
  <si>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</si>
  <si>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</si>
  <si>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</si>
  <si>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</si>
  <si>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</si>
  <si>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</si>
  <si>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</si>
  <si>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</si>
  <si>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</si>
  <si>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1CQ1213AHS0155196</t>
  </si>
  <si>
    <t>PLANTADEIRA</t>
  </si>
  <si>
    <t>PROGRAMADO (D)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</si>
  <si>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</si>
  <si>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</si>
  <si>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</si>
  <si>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</si>
  <si>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</si>
  <si>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</si>
  <si>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</si>
  <si>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</si>
  <si>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</si>
  <si>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</si>
  <si>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</si>
  <si>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</si>
  <si>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</si>
  <si>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</si>
  <si>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</si>
  <si>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</si>
  <si>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</si>
  <si>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</si>
  <si>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</si>
  <si>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</si>
  <si>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</si>
  <si>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</si>
  <si>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</si>
  <si>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</si>
  <si>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</si>
  <si>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</si>
  <si>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</si>
  <si>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</si>
  <si>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</si>
  <si>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</si>
  <si>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</si>
  <si>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</si>
  <si>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</si>
  <si>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</si>
  <si>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</si>
  <si>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</si>
  <si>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</si>
  <si>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RECEBIDO (D)</t>
  </si>
  <si>
    <t>NÃO DEFINIDO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</si>
  <si>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</si>
  <si>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RECEBIDO</t>
  </si>
  <si>
    <t>1BM6100JTSD602559</t>
  </si>
  <si>
    <t>HAROLDO L R FILHO -NF109957</t>
  </si>
  <si>
    <t>https://maps.app.goo.gl/SAQGugLBfo1Uqy2XA?g_st=awb</t>
  </si>
  <si>
    <t>Haroldo (51)99902-8053</t>
  </si>
  <si>
    <t>1BM5080EPS6204421</t>
  </si>
  <si>
    <t>NÃO INFORMADO-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</si>
  <si>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</si>
  <si>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</si>
  <si>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</si>
  <si>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</si>
  <si>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</si>
  <si>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</si>
  <si>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</si>
  <si>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</si>
  <si>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</si>
  <si>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</si>
  <si>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</si>
  <si>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</si>
  <si>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</si>
  <si>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https://maps.app.goo.gl/kgJbu1HMjsUxtg7P7</t>
  </si>
  <si>
    <t>Conexão JD - Piraí do Sul</t>
  </si>
  <si>
    <t>1CQFA25ALS0160148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</si>
  <si>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</si>
  <si>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</si>
  <si>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</si>
  <si>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</si>
  <si>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</si>
  <si>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</si>
  <si>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</si>
  <si>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</si>
  <si>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</si>
  <si>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</si>
  <si>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</si>
  <si>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</si>
  <si>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</si>
  <si>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</si>
  <si>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</si>
  <si>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</si>
  <si>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</si>
  <si>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</si>
  <si>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</si>
  <si>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</si>
  <si>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</si>
  <si>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</si>
  <si>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</si>
  <si>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</si>
  <si>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</si>
  <si>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</si>
  <si>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</si>
  <si>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</si>
  <si>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</si>
  <si>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</si>
  <si>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VW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</si>
  <si>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</si>
  <si>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</si>
  <si>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</si>
  <si>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</si>
  <si>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</si>
  <si>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</si>
  <si>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</si>
  <si>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</si>
  <si>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</si>
  <si>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</si>
  <si>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</si>
  <si>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</si>
  <si>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</si>
  <si>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</si>
  <si>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</si>
  <si>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</si>
  <si>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ESC -TR PEÇA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</si>
  <si>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</si>
  <si>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</si>
  <si>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</si>
  <si>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</si>
  <si>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</si>
  <si>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</si>
  <si>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</si>
  <si>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</si>
  <si>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</si>
  <si>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</si>
  <si>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047258</t>
  </si>
  <si>
    <t>ANDREIA R. COURIER</t>
  </si>
  <si>
    <t>047199</t>
  </si>
  <si>
    <t>JOHN ELVIS COURIER</t>
  </si>
  <si>
    <t>FRETE DE PEÇAS P/ CLIENTE</t>
  </si>
  <si>
    <t>047247</t>
  </si>
  <si>
    <t>DELTA MOTOS COURIER</t>
  </si>
  <si>
    <t>MOTOBOY X CLIENTE: ENTREGAS DO MÊS DE OUTUBRO</t>
  </si>
  <si>
    <t>047267</t>
  </si>
  <si>
    <t>MARCOS D. COURIER</t>
  </si>
  <si>
    <t>MOTOBOY: TRANSF ENTRE LOJAS GRPVA X CASTRO</t>
  </si>
  <si>
    <t>047268</t>
  </si>
  <si>
    <t>MOTOBOY: orçamento  79186</t>
  </si>
  <si>
    <t>Frete Máq. Trator</t>
  </si>
  <si>
    <t>047269</t>
  </si>
  <si>
    <t>STOSKI -TR MAQ</t>
  </si>
  <si>
    <t>ENTREGA TRATOR 6135M - LAURO MIGUEL STRONA</t>
  </si>
  <si>
    <t>047348</t>
  </si>
  <si>
    <t>PRINCESA -TR PEÇA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</si>
  <si>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</si>
  <si>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</si>
  <si>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</si>
  <si>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</si>
  <si>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</si>
  <si>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</si>
  <si>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</si>
  <si>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</si>
  <si>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</si>
  <si>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</si>
  <si>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</si>
  <si>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</si>
  <si>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</si>
  <si>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</si>
  <si>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</si>
  <si>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</si>
  <si>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</si>
  <si>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</si>
  <si>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</si>
  <si>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</si>
  <si>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</si>
  <si>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</si>
  <si>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</si>
  <si>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</si>
  <si>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</si>
  <si>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</si>
  <si>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JORGE LUIZ 2 COURIER</t>
  </si>
  <si>
    <t>047553</t>
  </si>
  <si>
    <t>ANDREANI - MT</t>
  </si>
  <si>
    <t>Diagnóstico e testes via aparelho - VW</t>
  </si>
  <si>
    <t>Conector e sensor de rotação e tomada - VW</t>
  </si>
  <si>
    <t>047685</t>
  </si>
  <si>
    <t>JOSEAMILTON1 COURIER</t>
  </si>
  <si>
    <t>047687</t>
  </si>
  <si>
    <t>Munck</t>
  </si>
  <si>
    <t>047738</t>
  </si>
  <si>
    <t>munck: (des)carregar  peças e implementos para a loja</t>
  </si>
  <si>
    <t>047750</t>
  </si>
  <si>
    <t>CTE KLABIN</t>
  </si>
  <si>
    <t>CTE SINAL SERVIÇOS</t>
  </si>
  <si>
    <t>047757</t>
  </si>
  <si>
    <t>CARGADEDICADA -TR PEÇA</t>
  </si>
  <si>
    <t>CTE - COCAMAR</t>
  </si>
  <si>
    <t>047804</t>
  </si>
  <si>
    <t>MAZETTO -TR MAQ</t>
  </si>
  <si>
    <t>RONALDO RABBERS -NF109962 - FRETE TRATOR</t>
  </si>
  <si>
    <t>047805</t>
  </si>
  <si>
    <t>LUIZ HENRIQUE GREIN -NF107347 - FRETE TRATOR</t>
  </si>
  <si>
    <t>Frete Máq. Colheitadeira</t>
  </si>
  <si>
    <t>ARNALDO STOCK -NF107847 - FRETE COLHEITADEIRA</t>
  </si>
  <si>
    <t>Frete Máq. Plataforma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</si>
  <si>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</si>
  <si>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</si>
  <si>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</si>
  <si>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</si>
  <si>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</si>
  <si>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UTILIZAÇÃO DE MUNCK PARA CARREGAR E DESCARREGAR NA LOJA</t>
  </si>
  <si>
    <t>047328</t>
  </si>
  <si>
    <t>entrega de peça cliente Paulo Roberto Soczek Dzierwa</t>
  </si>
  <si>
    <t>047552</t>
  </si>
  <si>
    <t>GRICZYNSKI -TR MAQ</t>
  </si>
  <si>
    <t>047572</t>
  </si>
  <si>
    <t>AGROMAQ -TR MAQ</t>
  </si>
  <si>
    <t>Entrega do distribuidor de nutrientes Tomazina</t>
  </si>
  <si>
    <t>047573</t>
  </si>
  <si>
    <t>MUNCK IRATI -TR MAQ</t>
  </si>
  <si>
    <t>Transporte de plataforma usada de irati para prude</t>
  </si>
  <si>
    <t>047732</t>
  </si>
  <si>
    <t>SUL LONAS - MT</t>
  </si>
  <si>
    <t>Aguardando</t>
  </si>
  <si>
    <t>FLC LONIL VERDE / PRETO CAPAS COLHETADEIRA E LANÇAS</t>
  </si>
  <si>
    <t>047733</t>
  </si>
  <si>
    <t>MEGA TRUCK ACESSORIOS - MT</t>
  </si>
  <si>
    <t>Manutenção em todas as rodas - VW</t>
  </si>
  <si>
    <t>Frete Máq. Carreta</t>
  </si>
  <si>
    <t>047752</t>
  </si>
  <si>
    <t>047758</t>
  </si>
  <si>
    <t>INCOMESPMUNCK -TR MAQ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</si>
  <si>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</si>
  <si>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</si>
  <si>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</si>
  <si>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</si>
  <si>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</si>
  <si>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</si>
  <si>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</si>
  <si>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</si>
  <si>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-TR MAQ</t>
  </si>
  <si>
    <t>Frete Máq. Pulverizador</t>
  </si>
  <si>
    <t>047803</t>
  </si>
  <si>
    <t>LUG -TR MAQ</t>
  </si>
  <si>
    <t>047871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</si>
  <si>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</si>
  <si>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</si>
  <si>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</si>
  <si>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</si>
  <si>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</si>
  <si>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</si>
  <si>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</si>
  <si>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047889</t>
  </si>
  <si>
    <t>TX LOG -TR PEÇA</t>
  </si>
  <si>
    <t>CTE EMITIDO ERRADO - SERÁ DESCONTADO N PROX. FATURA DE IRATI</t>
  </si>
  <si>
    <t>047892</t>
  </si>
  <si>
    <t>047893</t>
  </si>
  <si>
    <t>047895</t>
  </si>
  <si>
    <t>Frete Máq. Plantadeira</t>
  </si>
  <si>
    <t>047897</t>
  </si>
  <si>
    <t>047901</t>
  </si>
  <si>
    <t>CTE COM TOMADOR ERRADO</t>
  </si>
  <si>
    <t>047902</t>
  </si>
  <si>
    <t>047900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</si>
  <si>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</si>
  <si>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</si>
  <si>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</si>
  <si>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</si>
  <si>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</si>
  <si>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</si>
  <si>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</si>
  <si>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</si>
  <si>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</si>
  <si>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</si>
  <si>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</si>
  <si>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</si>
  <si>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</si>
  <si>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</si>
  <si>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</si>
  <si>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</si>
  <si>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</si>
  <si>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</si>
  <si>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REGISTRADO</t>
  </si>
  <si>
    <t>james.avelar</t>
  </si>
  <si>
    <t>JOHN ELVIS  |  34.154.225/0001-14</t>
  </si>
  <si>
    <t>170,00</t>
  </si>
  <si>
    <t>entrega de peça 28787 renato rickli de oliveira</t>
  </si>
  <si>
    <t xml:space="preserve">próprio motoboy 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</si>
  <si>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</si>
  <si>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</si>
  <si>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</si>
  <si>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</si>
  <si>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</si>
  <si>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</si>
  <si>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</si>
  <si>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</si>
  <si>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</si>
  <si>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</si>
  <si>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</si>
  <si>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</si>
  <si>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</si>
  <si>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</si>
  <si>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</si>
  <si>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</si>
  <si>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</si>
  <si>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</si>
  <si>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</si>
  <si>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</si>
  <si>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</si>
  <si>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</si>
  <si>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</si>
  <si>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</si>
  <si>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</si>
  <si>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</si>
  <si>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</si>
  <si>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</si>
  <si>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</si>
  <si>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</si>
  <si>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</si>
  <si>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</si>
  <si>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</si>
  <si>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</si>
  <si>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</si>
  <si>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</si>
  <si>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</si>
  <si>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</si>
  <si>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</si>
  <si>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</si>
  <si>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</si>
  <si>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</si>
  <si>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</si>
  <si>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</si>
  <si>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</si>
  <si>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</si>
  <si>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</si>
  <si>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</si>
  <si>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</si>
  <si>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</si>
  <si>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</si>
  <si>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</si>
  <si>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</si>
  <si>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</si>
  <si>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</si>
  <si>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</si>
  <si>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</si>
  <si>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</si>
  <si>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</si>
  <si>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</si>
  <si>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</si>
  <si>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</si>
  <si>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</si>
  <si>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</si>
  <si>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</si>
  <si>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</si>
  <si>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</si>
  <si>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</si>
  <si>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</si>
  <si>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</si>
  <si>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</si>
  <si>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</si>
  <si>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</si>
  <si>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</si>
  <si>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</si>
  <si>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</si>
  <si>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</si>
  <si>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</si>
  <si>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</si>
  <si>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</si>
  <si>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</si>
  <si>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</si>
  <si>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</si>
  <si>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</si>
  <si>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</si>
  <si>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</si>
  <si>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</si>
  <si>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</si>
  <si>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</si>
  <si>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</si>
  <si>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</si>
  <si>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</si>
  <si>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</si>
  <si>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</si>
  <si>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</si>
  <si>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</si>
  <si>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</si>
  <si>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</si>
  <si>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</si>
  <si>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</si>
  <si>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</si>
  <si>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</si>
  <si>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</si>
  <si>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</si>
  <si>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</si>
  <si>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</si>
  <si>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</si>
  <si>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</si>
  <si>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</si>
  <si>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</si>
  <si>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</si>
  <si>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</si>
  <si>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</si>
  <si>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</si>
  <si>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</si>
  <si>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</si>
  <si>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</si>
  <si>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</si>
  <si>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</si>
  <si>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</si>
  <si>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</si>
  <si>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</si>
  <si>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</si>
  <si>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</si>
  <si>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</si>
  <si>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</si>
  <si>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</si>
  <si>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</si>
  <si>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</si>
  <si>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</si>
  <si>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</si>
  <si>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</si>
  <si>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</si>
  <si>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</si>
  <si>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</si>
  <si>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</si>
  <si>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</si>
  <si>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</si>
  <si>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</si>
  <si>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</si>
  <si>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</si>
  <si>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</si>
  <si>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</si>
  <si>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</si>
  <si>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</si>
  <si>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</si>
  <si>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</si>
  <si>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</si>
  <si>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</si>
  <si>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</si>
  <si>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</si>
  <si>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</si>
  <si>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</si>
  <si>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</si>
  <si>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</si>
  <si>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</si>
  <si>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</si>
  <si>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</si>
  <si>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</si>
  <si>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</si>
  <si>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</si>
  <si>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</si>
  <si>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</si>
  <si>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</si>
  <si>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</si>
  <si>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</si>
  <si>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</si>
  <si>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</si>
  <si>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</si>
  <si>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</si>
  <si>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</si>
  <si>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</si>
  <si>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</si>
  <si>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</si>
  <si>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</si>
  <si>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</si>
  <si>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</si>
  <si>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</si>
  <si>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</si>
  <si>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</si>
  <si>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</si>
  <si>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</si>
  <si>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</si>
  <si>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</si>
  <si>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</si>
  <si>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</si>
  <si>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</si>
  <si>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</si>
  <si>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</si>
  <si>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</si>
  <si>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</si>
  <si>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</si>
  <si>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</si>
  <si>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</si>
  <si>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</si>
  <si>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</si>
  <si>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</si>
  <si>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</si>
  <si>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</si>
  <si>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</si>
  <si>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</si>
  <si>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</si>
  <si>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</si>
  <si>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</si>
  <si>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</si>
  <si>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</si>
  <si>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</si>
  <si>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</si>
  <si>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</si>
  <si>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</si>
  <si>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</si>
  <si>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</si>
  <si>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</si>
  <si>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</si>
  <si>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</si>
  <si>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</si>
  <si>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</si>
  <si>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</si>
  <si>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</si>
  <si>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</si>
  <si>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</si>
  <si>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</si>
  <si>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</si>
  <si>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</si>
  <si>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</si>
  <si>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</si>
  <si>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</si>
  <si>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</si>
  <si>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</si>
  <si>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</si>
  <si>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</si>
  <si>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</si>
  <si>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</si>
  <si>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</si>
  <si>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</si>
  <si>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</si>
  <si>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</si>
  <si>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</si>
  <si>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</si>
  <si>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</si>
  <si>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</si>
  <si>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</si>
  <si>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</si>
  <si>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</si>
  <si>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</si>
  <si>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</si>
  <si>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</si>
  <si>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</si>
  <si>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</si>
  <si>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QUEDAS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</si>
  <si>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</si>
  <si>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</si>
  <si>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</si>
  <si>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</si>
  <si>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</si>
  <si>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</si>
  <si>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</si>
  <si>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</si>
  <si>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</si>
  <si>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</si>
  <si>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</si>
  <si>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</si>
  <si>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</si>
  <si>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</si>
  <si>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</si>
  <si>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</si>
  <si>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</si>
  <si>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</si>
  <si>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</si>
  <si>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</si>
  <si>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</si>
  <si>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</si>
  <si>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</si>
  <si>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</si>
  <si>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</si>
  <si>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</si>
  <si>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</si>
  <si>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</si>
  <si>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</si>
  <si>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</si>
  <si>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</si>
  <si>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</si>
  <si>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</si>
  <si>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</si>
  <si>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</si>
  <si>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</si>
  <si>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</si>
  <si>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</si>
  <si>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</si>
  <si>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</si>
  <si>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</si>
  <si>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</si>
  <si>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</si>
  <si>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</si>
  <si>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</si>
  <si>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</si>
  <si>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</si>
  <si>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</si>
  <si>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</si>
  <si>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</si>
  <si>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</si>
  <si>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</si>
  <si>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</si>
  <si>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</si>
  <si>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</si>
  <si>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</si>
  <si>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</si>
  <si>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</si>
  <si>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</si>
  <si>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</si>
  <si>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</si>
  <si>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</si>
  <si>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</si>
  <si>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</si>
  <si>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</si>
  <si>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</si>
  <si>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</si>
  <si>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</si>
  <si>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</si>
  <si>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</si>
  <si>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</si>
  <si>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</si>
  <si>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</si>
  <si>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</si>
  <si>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</si>
  <si>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</si>
  <si>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</si>
  <si>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</si>
  <si>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</si>
  <si>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</si>
  <si>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</si>
  <si>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</si>
  <si>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</si>
  <si>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</si>
  <si>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</si>
  <si>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</si>
  <si>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</si>
  <si>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</si>
  <si>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</si>
  <si>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</si>
  <si>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</si>
  <si>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</si>
  <si>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</si>
  <si>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</si>
  <si>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</si>
  <si>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</si>
  <si>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</si>
  <si>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</si>
  <si>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</si>
  <si>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</si>
  <si>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</si>
  <si>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</si>
  <si>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</si>
  <si>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</si>
  <si>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</si>
  <si>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</si>
  <si>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</si>
  <si>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</si>
  <si>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</si>
  <si>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</si>
  <si>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</si>
  <si>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</si>
  <si>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</si>
  <si>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</si>
  <si>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</si>
  <si>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</si>
  <si>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</si>
  <si>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</si>
  <si>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</si>
  <si>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</si>
  <si>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</si>
  <si>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</si>
  <si>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</si>
  <si>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</si>
  <si>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</si>
  <si>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</si>
  <si>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</si>
  <si>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</si>
  <si>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</si>
  <si>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</si>
  <si>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</si>
  <si>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</si>
  <si>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</si>
  <si>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</si>
  <si>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</si>
  <si>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</si>
  <si>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</si>
  <si>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</si>
  <si>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</si>
  <si>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</si>
  <si>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</si>
  <si>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</si>
  <si>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</si>
  <si>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</si>
  <si>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</si>
  <si>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</si>
  <si>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</si>
  <si>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</si>
  <si>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</si>
  <si>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</si>
  <si>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</si>
  <si>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</si>
  <si>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</si>
  <si>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</si>
  <si>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</si>
  <si>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</si>
  <si>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</si>
  <si>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</si>
  <si>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</si>
  <si>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</si>
  <si>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</si>
  <si>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</si>
  <si>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</si>
  <si>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</si>
  <si>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</si>
  <si>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</si>
  <si>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</si>
  <si>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</si>
  <si>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</si>
  <si>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</si>
  <si>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</si>
  <si>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</si>
  <si>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</si>
  <si>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</si>
  <si>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</si>
  <si>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</si>
  <si>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</si>
  <si>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</si>
  <si>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</si>
  <si>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</si>
  <si>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</si>
  <si>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</si>
  <si>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</si>
  <si>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</si>
  <si>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</si>
  <si>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</si>
  <si>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</si>
  <si>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</si>
  <si>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</si>
  <si>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</si>
  <si>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</si>
  <si>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</si>
  <si>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</si>
  <si>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</si>
  <si>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</si>
  <si>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</si>
  <si>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</si>
  <si>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</si>
  <si>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</si>
  <si>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</si>
  <si>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</si>
  <si>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</si>
  <si>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</si>
  <si>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</si>
  <si>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</si>
  <si>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</si>
  <si>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</si>
  <si>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</si>
  <si>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</si>
  <si>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</si>
  <si>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</si>
  <si>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</si>
  <si>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</si>
  <si>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</si>
  <si>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</si>
  <si>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</si>
  <si>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</si>
  <si>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</si>
  <si>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</si>
  <si>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</si>
  <si>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</si>
  <si>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</si>
  <si>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</si>
  <si>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</si>
  <si>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</si>
  <si>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</si>
  <si>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</si>
  <si>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</si>
  <si>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</si>
  <si>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</si>
  <si>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</si>
  <si>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</si>
  <si>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</si>
  <si>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</si>
  <si>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</si>
  <si>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</si>
  <si>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</si>
  <si>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</si>
  <si>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</si>
  <si>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</si>
  <si>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</si>
  <si>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</si>
  <si>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</si>
  <si>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</si>
  <si>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</si>
  <si>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</si>
  <si>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</si>
  <si>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</si>
  <si>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</si>
  <si>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</si>
  <si>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</si>
  <si>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</si>
  <si>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</si>
  <si>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</si>
  <si>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</si>
  <si>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</si>
  <si>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</si>
  <si>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</si>
  <si>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</si>
  <si>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</si>
  <si>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</si>
  <si>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</si>
  <si>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</si>
  <si>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</si>
  <si>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</si>
  <si>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</si>
  <si>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</si>
  <si>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</si>
  <si>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</si>
  <si>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</si>
  <si>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</si>
  <si>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</si>
  <si>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</si>
  <si>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</si>
  <si>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</si>
  <si>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</si>
  <si>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</si>
  <si>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</si>
  <si>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</si>
  <si>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</si>
  <si>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</si>
  <si>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</si>
  <si>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</si>
  <si>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</si>
  <si>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</si>
  <si>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</si>
  <si>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</si>
  <si>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</si>
  <si>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</si>
  <si>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</si>
  <si>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</si>
  <si>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</si>
  <si>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</si>
  <si>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</si>
  <si>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</si>
  <si>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</si>
  <si>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</si>
  <si>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</si>
  <si>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</si>
  <si>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</si>
  <si>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</si>
  <si>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</si>
  <si>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</si>
  <si>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</si>
  <si>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</si>
  <si>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</si>
  <si>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</si>
  <si>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</si>
  <si>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</si>
  <si>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</si>
  <si>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</si>
  <si>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</si>
  <si>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</si>
  <si>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</si>
  <si>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</si>
  <si>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</si>
  <si>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</si>
  <si>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</si>
  <si>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</si>
  <si>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</si>
  <si>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</si>
  <si>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</si>
  <si>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</si>
  <si>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</si>
  <si>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</si>
  <si>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</si>
  <si>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</si>
  <si>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</si>
  <si>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</si>
  <si>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</si>
  <si>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</si>
  <si>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</si>
  <si>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</si>
  <si>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</si>
  <si>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</si>
  <si>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</si>
  <si>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</si>
  <si>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</si>
  <si>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</si>
  <si>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</si>
  <si>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</si>
  <si>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</si>
  <si>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</si>
  <si>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</si>
  <si>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</si>
  <si>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</si>
  <si>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</si>
  <si>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</si>
  <si>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</si>
  <si>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</si>
  <si>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</si>
  <si>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</si>
  <si>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</si>
  <si>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</si>
  <si>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</si>
  <si>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</si>
  <si>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</si>
  <si>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</si>
  <si>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</si>
  <si>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</si>
  <si>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</si>
  <si>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</si>
  <si>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</si>
  <si>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</si>
  <si>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</si>
  <si>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</si>
  <si>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</si>
  <si>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</si>
  <si>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</si>
  <si>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</si>
  <si>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</si>
  <si>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</si>
  <si>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</si>
  <si>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</si>
  <si>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</si>
  <si>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</si>
  <si>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</si>
  <si>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</si>
  <si>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</si>
  <si>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</si>
  <si>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</si>
  <si>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</si>
  <si>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</si>
  <si>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</si>
  <si>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</si>
  <si>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</si>
  <si>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</si>
  <si>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</si>
  <si>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</si>
  <si>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</si>
  <si>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</si>
  <si>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</si>
  <si>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</si>
  <si>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</si>
  <si>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</si>
  <si>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</si>
  <si>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</si>
  <si>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</si>
  <si>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</si>
  <si>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</si>
  <si>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</si>
  <si>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</si>
  <si>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</si>
  <si>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</si>
  <si>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</si>
  <si>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</si>
  <si>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</si>
  <si>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</si>
  <si>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</si>
  <si>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</si>
  <si>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</si>
  <si>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</si>
  <si>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</si>
  <si>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</si>
  <si>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</si>
  <si>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</si>
  <si>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</si>
  <si>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</si>
  <si>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</si>
  <si>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</si>
  <si>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</si>
  <si>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</si>
  <si>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</si>
  <si>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</si>
  <si>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</si>
  <si>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</si>
  <si>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</si>
  <si>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</si>
  <si>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</si>
  <si>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</si>
  <si>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</si>
  <si>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</si>
  <si>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</si>
  <si>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</si>
  <si>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</si>
  <si>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</si>
  <si>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</si>
  <si>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</si>
  <si>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</si>
  <si>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</si>
  <si>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</si>
  <si>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</si>
  <si>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</si>
  <si>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</si>
  <si>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</si>
  <si>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</si>
  <si>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</si>
  <si>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</si>
  <si>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</si>
  <si>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</si>
  <si>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</si>
  <si>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</si>
  <si>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</si>
  <si>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</si>
  <si>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</si>
  <si>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</si>
  <si>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</si>
  <si>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</si>
  <si>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</si>
  <si>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</si>
  <si>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</si>
  <si>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</si>
  <si>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</si>
  <si>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</si>
  <si>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</si>
  <si>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</si>
  <si>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</si>
  <si>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</si>
  <si>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</si>
  <si>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</si>
  <si>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</si>
  <si>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</si>
  <si>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</si>
  <si>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</si>
  <si>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</si>
  <si>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</si>
  <si>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</si>
  <si>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</si>
  <si>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</si>
  <si>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</si>
  <si>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</si>
  <si>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</si>
  <si>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</si>
  <si>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</si>
  <si>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</si>
  <si>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</si>
  <si>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</si>
  <si>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</si>
  <si>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</si>
  <si>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</si>
  <si>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</si>
  <si>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</si>
  <si>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</si>
  <si>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</si>
  <si>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</si>
  <si>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</si>
  <si>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</si>
  <si>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</si>
  <si>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</si>
  <si>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</si>
  <si>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</si>
  <si>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</si>
  <si>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</si>
  <si>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</si>
  <si>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</si>
  <si>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</si>
  <si>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</si>
  <si>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</si>
  <si>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</si>
  <si>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</si>
  <si>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</si>
  <si>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</si>
  <si>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</si>
  <si>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</si>
  <si>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</si>
  <si>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</si>
  <si>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</si>
  <si>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</si>
  <si>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</si>
  <si>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</si>
  <si>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</si>
  <si>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</si>
  <si>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</si>
  <si>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</si>
  <si>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</si>
  <si>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</si>
  <si>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</si>
  <si>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</si>
  <si>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</si>
  <si>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</si>
  <si>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</si>
  <si>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</si>
  <si>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</si>
  <si>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</si>
  <si>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</si>
  <si>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</si>
  <si>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</si>
  <si>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</si>
  <si>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</si>
  <si>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</si>
  <si>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</si>
  <si>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</si>
  <si>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</si>
  <si>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</si>
  <si>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</si>
  <si>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</si>
  <si>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</si>
  <si>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</si>
  <si>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</si>
  <si>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</si>
  <si>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</si>
  <si>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</si>
  <si>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</si>
  <si>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</si>
  <si>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</si>
  <si>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</si>
  <si>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</si>
  <si>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</si>
  <si>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</si>
  <si>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</si>
  <si>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</si>
  <si>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</si>
  <si>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</si>
  <si>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</si>
  <si>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</si>
  <si>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</si>
  <si>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</si>
  <si>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</si>
  <si>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</si>
  <si>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</si>
  <si>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</si>
  <si>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</si>
  <si>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</si>
  <si>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</si>
  <si>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</si>
  <si>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</si>
  <si>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</si>
  <si>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</si>
  <si>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</si>
  <si>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</si>
  <si>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</si>
  <si>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</si>
  <si>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</si>
  <si>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</si>
  <si>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</si>
  <si>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</si>
  <si>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</si>
  <si>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</si>
  <si>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</si>
  <si>
    <t>OUTUBRO - 2025</t>
  </si>
  <si>
    <t>(Tudo)</t>
  </si>
  <si>
    <t>G01</t>
  </si>
  <si>
    <t>G11 e G12</t>
  </si>
  <si>
    <t>Valores</t>
  </si>
  <si>
    <t>Responsável</t>
  </si>
  <si>
    <t>KMs</t>
  </si>
  <si>
    <t>Media Proprio</t>
  </si>
  <si>
    <t>Media Terceiro</t>
  </si>
  <si>
    <t>Qtd Proprio</t>
  </si>
  <si>
    <t>Qtd Terceiro</t>
  </si>
  <si>
    <t>Meta Frete 2026</t>
  </si>
  <si>
    <t>Média (P+T)</t>
  </si>
  <si>
    <t>G02</t>
  </si>
  <si>
    <t>Soma Proprio</t>
  </si>
  <si>
    <t>Soma Terceiro</t>
  </si>
  <si>
    <t>Qtd Frete</t>
  </si>
  <si>
    <t>G03</t>
  </si>
  <si>
    <t>Qtd Total</t>
  </si>
  <si>
    <t>Total KM</t>
  </si>
  <si>
    <t>G04</t>
  </si>
  <si>
    <t>G05</t>
  </si>
  <si>
    <t>G06</t>
  </si>
  <si>
    <t>MUNCK</t>
  </si>
  <si>
    <t>R$</t>
  </si>
  <si>
    <t>TRANSPORTADORA</t>
  </si>
  <si>
    <t>Total Geral</t>
  </si>
  <si>
    <t>G07</t>
  </si>
  <si>
    <t>G08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</si>
</sst>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63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20"/>
      <color rgb="FFFFFFCC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43" fillId="0" borderId="0" xfId="0" pivotButton="1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43" fillId="0" borderId="0" xfId="0" applyFont="1"/>
    <xf numFmtId="164" fontId="43" fillId="0" borderId="0" xfId="0" applyNumberFormat="1" applyFont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0" fontId="61" fillId="14" borderId="0" xfId="0" applyFont="1" applyFill="1" applyAlignment="1">
      <alignment horizontal="left" vertical="center"/>
    </xf>
    <xf numFmtId="0" fontId="44" fillId="4" borderId="0" xfId="0" applyFont="1" applyFill="1" applyAlignment="1">
      <alignment horizontal="left" vertical="center"/>
    </xf>
    <xf numFmtId="164" fontId="44" fillId="4" borderId="0" xfId="0" applyNumberFormat="1" applyFont="1" applyFill="1" applyAlignment="1">
      <alignment horizontal="left" vertical="center"/>
    </xf>
    <xf numFmtId="0" fontId="43" fillId="0" borderId="0" xfId="0" pivotButton="1" applyFont="1" applyAlignment="1">
      <alignment horizontal="center" vertical="center"/>
    </xf>
    <xf numFmtId="0" fontId="61" fillId="15" borderId="0" xfId="0" applyFont="1" applyFill="1" applyAlignment="1">
      <alignment horizontal="center" vertical="center"/>
    </xf>
    <xf numFmtId="164" fontId="43" fillId="4" borderId="0" xfId="0" applyNumberFormat="1" applyFont="1" applyFill="1" applyAlignment="1">
      <alignment horizontal="center" vertical="center"/>
    </xf>
    <xf numFmtId="46" fontId="43" fillId="4" borderId="0" xfId="0" applyNumberFormat="1" applyFont="1" applyFill="1" applyAlignment="1">
      <alignment horizontal="center" vertical="center"/>
    </xf>
    <xf numFmtId="10" fontId="43" fillId="4" borderId="0" xfId="0" applyNumberFormat="1" applyFont="1" applyFill="1" applyAlignment="1">
      <alignment horizontal="center" vertical="center"/>
    </xf>
    <xf numFmtId="164" fontId="0" fillId="0" borderId="0" xfId="0" applyNumberFormat="1"/>
    <xf numFmtId="0" fontId="59" fillId="0" borderId="0" xfId="0" applyFont="1"/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58" fillId="0" borderId="25" xfId="0" applyFont="1" applyBorder="1" applyAlignment="1">
      <alignment horizontal="center" vertical="center"/>
    </xf>
    <xf numFmtId="17" fontId="62" fillId="15" borderId="0" xfId="0" quotePrefix="1" applyNumberFormat="1" applyFont="1" applyFill="1" applyAlignment="1">
      <alignment horizontal="center" vertical="center"/>
    </xf>
    <xf numFmtId="14" fontId="0" fillId="16" borderId="0" xfId="0" applyNumberFormat="1" applyFill="1" applyAlignment="1">
      <alignment horizontal="center"/>
    </xf>
    <xf numFmtId="0" fontId="0" fillId="16" borderId="0" xfId="0" quotePrefix="1" applyFill="1"/>
    <xf numFmtId="0" fontId="0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0" fontId="0" fillId="0" borderId="0" xfId="0" applyNumberFormat="1" applyFont="1" applyAlignment="1">
      <alignment horizontal="left" vertical="center" shrinkToFit="1"/>
    </xf>
    <xf numFmtId="14" fontId="0" fillId="16" borderId="0" xfId="0" applyNumberFormat="1" applyFill="1" applyAlignment="1">
      <alignment horizontal="left"/>
    </xf>
    <xf numFmtId="0" fontId="0" fillId="16" borderId="0" xfId="0" quotePrefix="1" applyFont="1" applyFill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3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339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2386.9562500000002</c:v>
                </c:pt>
                <c:pt idx="1">
                  <c:v>125</c:v>
                </c:pt>
                <c:pt idx="2">
                  <c:v>732</c:v>
                </c:pt>
                <c:pt idx="3">
                  <c:v>290.625</c:v>
                </c:pt>
                <c:pt idx="4">
                  <c:v>790.625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2.3542963162546645E-4"/>
                  <c:y val="-2.40811852512407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20082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dLbl>
              <c:idx val="3"/>
              <c:layout>
                <c:manualLayout>
                  <c:x val="7.0639354554450295E-4"/>
                  <c:y val="-6.5238451728508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18109.3</c:v>
                </c:pt>
                <c:pt idx="1">
                  <c:v>2000</c:v>
                </c:pt>
                <c:pt idx="2">
                  <c:v>9600</c:v>
                </c:pt>
                <c:pt idx="3">
                  <c:v>3350</c:v>
                </c:pt>
                <c:pt idx="4">
                  <c:v>6950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55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4.2463729189477816E-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1323.8</c:v>
                </c:pt>
                <c:pt idx="3">
                  <c:v>850</c:v>
                </c:pt>
                <c:pt idx="4">
                  <c:v>830</c:v>
                </c:pt>
                <c:pt idx="5">
                  <c:v>862</c:v>
                </c:pt>
                <c:pt idx="6">
                  <c:v>862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13966</c:v>
                </c:pt>
                <c:pt idx="1">
                  <c:v>15228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2961</c:v>
                </c:pt>
                <c:pt idx="1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0.61687500000000006</c:v>
                </c:pt>
                <c:pt idx="1">
                  <c:v>0.66093749999999996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55245</xdr:rowOff>
    </xdr:from>
    <xdr:to>
      <xdr:col>9</xdr:col>
      <xdr:colOff>247650</xdr:colOff>
      <xdr:row>51</xdr:row>
      <xdr:rowOff>93345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15240</xdr:colOff>
      <xdr:row>69</xdr:row>
      <xdr:rowOff>91440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590219</xdr:colOff>
      <xdr:row>38</xdr:row>
      <xdr:rowOff>132810</xdr:rowOff>
    </xdr:from>
    <xdr:to>
      <xdr:col>17</xdr:col>
      <xdr:colOff>245471</xdr:colOff>
      <xdr:row>58</xdr:row>
      <xdr:rowOff>92801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439511</xdr:colOff>
      <xdr:row>39</xdr:row>
      <xdr:rowOff>15762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18</xdr:col>
      <xdr:colOff>272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133168</xdr:rowOff>
    </xdr:from>
    <xdr:to>
      <xdr:col>17</xdr:col>
      <xdr:colOff>436788</xdr:colOff>
      <xdr:row>76</xdr:row>
      <xdr:rowOff>133618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58510</xdr:rowOff>
    </xdr:from>
    <xdr:to>
      <xdr:col>9</xdr:col>
      <xdr:colOff>502228</xdr:colOff>
      <xdr:row>87</xdr:row>
      <xdr:rowOff>130900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227561</xdr:colOff>
      <xdr:row>71</xdr:row>
      <xdr:rowOff>82088</xdr:rowOff>
    </xdr:from>
    <xdr:to>
      <xdr:col>38</xdr:col>
      <xdr:colOff>594706</xdr:colOff>
      <xdr:row>87</xdr:row>
      <xdr:rowOff>131618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625241435184" createdVersion="8" refreshedVersion="8" minRefreshableVersion="3" recordCount="90" xr:uid="{1BEA6CE4-72C2-4BDE-AB00-F675E27AC803}">
  <cacheSource type="worksheet">
    <worksheetSource ref="A1:S1048576" sheet="FRETE MÁQUINAS"/>
  </cacheSource>
  <cacheFields count="19">
    <cacheField name="STATUS" numFmtId="0">
      <sharedItems containsBlank="1"/>
    </cacheField>
    <cacheField name="FRETE" numFmtId="0">
      <sharedItems containsBlank="1" count="12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3000" count="31">
        <m/>
        <n v="1980"/>
        <n v="336"/>
        <n v="306"/>
        <n v="132"/>
        <n v="500"/>
        <n v="1470"/>
        <n v="1050"/>
        <n v="1950"/>
        <n v="1530"/>
        <n v="800"/>
        <n v="2200"/>
        <n v="342"/>
        <n v="600"/>
        <n v="630"/>
        <n v="432"/>
        <n v="690"/>
        <n v="1836"/>
        <n v="1200"/>
        <n v="200"/>
        <n v="2850"/>
        <n v="492"/>
        <n v="900"/>
        <n v="150"/>
        <n v="3000"/>
        <n v="1122"/>
        <n v="852"/>
        <n v="1716"/>
        <n v="1400"/>
        <n v="100"/>
        <n v="618"/>
      </sharedItems>
    </cacheField>
    <cacheField name="R$ TERC" numFmtId="164">
      <sharedItems containsString="0" containsBlank="1" containsNumber="1" minValue="300" maxValue="9600" count="24">
        <n v="300"/>
        <n v="500"/>
        <n v="1352"/>
        <n v="650"/>
        <n v="910"/>
        <m/>
        <n v="1295"/>
        <n v="1458"/>
        <n v="975"/>
        <n v="2890"/>
        <n v="1389"/>
        <n v="1000"/>
        <n v="430"/>
        <n v="450"/>
        <n v="1328"/>
        <n v="3662.3"/>
        <n v="1600"/>
        <n v="3800"/>
        <n v="9600"/>
        <n v="2000"/>
        <n v="900"/>
        <n v="400"/>
        <n v="800"/>
        <n v="550"/>
      </sharedItems>
    </cacheField>
    <cacheField name="CHASSI" numFmtId="0">
      <sharedItems containsBlank="1" count="67">
        <s v="1BM5060ECN4103629"/>
        <s v="1BM5080ECP4111950"/>
        <s v="1BM5080EEP4112594"/>
        <s v="1BM5080EPS4204124"/>
        <s v="1CQFA30AAS0160114"/>
        <s v="1CQS760ACS0160134"/>
        <s v="1BM6135MPSH000596"/>
        <s v="1NW4025MVKF190132"/>
        <s v="1BM5060EES4201594"/>
        <s v="1BM5060EAP4104558"/>
        <s v="1BM7215CVR3000057"/>
        <s v="1P06110DABA021136"/>
        <s v="1BM6135MASH000623"/>
        <s v="1BM5080EKS4203735"/>
        <s v="1CQ0630AHR0155127"/>
        <s v="1CQS550AER0155105"/>
        <s v="1BM6135MCSH000563"/>
        <s v="1CQS680ATF0110209"/>
        <s v="1BM6180JKDD001849"/>
        <s v="1BM6100JVSD602522"/>
        <s v="AAAP1112CGS000944"/>
        <s v="1BM5078EHS4200616"/>
        <s v="1BM6150JCSD642412"/>
        <s v="9AGC1007EHS000187"/>
        <s v="1BM6100JESD602123"/>
        <s v="1CQRD30AVS0160245"/>
        <s v="1CQS550APS0160136"/>
        <s v="1BM7230JCPH010913"/>
        <s v="1BM7225JCGH004564"/>
        <s v="1BM5060EPS4201602"/>
        <s v="1BM5080ECN4109659"/>
        <s v="1XBDN10BHPP000280"/>
        <m/>
        <s v="1BM5080EKS4204142"/>
        <s v="1BM5080EVS4203951"/>
        <s v="1BM5080EJN4108551"/>
        <s v="1BM6100JCSD602163"/>
        <s v="1BM5080ETS6204305"/>
        <s v="1BM5080EVS4204226"/>
        <s v="1CQFA25APS0160156"/>
        <s v="1CQS440ACS0155147"/>
        <s v="1BM7230CVS3001962"/>
        <s v="1NW4030MES0250870"/>
        <s v="1CQ1213AHS0155196"/>
        <s v="1CQRD30AVS0160116"/>
        <s v="1CQS550AAS0160130"/>
        <s v="CTP28811021"/>
        <s v="CTP58701025"/>
        <s v="HCCB251KEKC318677"/>
        <s v="JHFY3585PKJF12965"/>
        <s v="1BM6100JTSD602254"/>
        <s v="1BM6100JCSD602446"/>
        <s v="Y8C525126"/>
        <s v="1BM5060EVS4201539"/>
        <s v="1BM7215CJSH000128"/>
        <s v="1BM7230CKS3002086"/>
        <s v="1BM6100JTSD602559"/>
        <s v="1BM5080EPS6204421"/>
        <s v="1BM5060EES4201644"/>
        <s v="1BM5080ECS4204234"/>
        <s v="1BM5080ELS4204066"/>
        <s v="1CQFA25ALS0160148"/>
        <s v="1CQS440AVS0155148"/>
        <s v="1BM5080EVS6204327"/>
        <s v="1BM5080EVS6204375"/>
        <s v="1CQFA25AES0160153"/>
        <s v="1CQS440AES0155172"/>
      </sharedItems>
    </cacheField>
    <cacheField name="PREV" numFmtId="0">
      <sharedItems containsNonDate="0" containsDate="1" containsString="0" containsBlank="1" minDate="2025-11-03T00:00:00" maxDate="2025-11-29T00:00:00" count="20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8T00:00:00"/>
        <m/>
      </sharedItems>
    </cacheField>
    <cacheField name="REAL" numFmtId="14">
      <sharedItems containsNonDate="0" containsDate="1" containsString="0" containsBlank="1" minDate="2025-11-03T00:00:00" maxDate="2025-11-19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 count="8">
        <s v="IRATI"/>
        <s v="GUARAPUAVA"/>
        <s v="PONTA GROSSA"/>
        <s v="ARAPOTI"/>
        <s v="PRUDENTOPOLIS"/>
        <s v="CASTRO"/>
        <s v="TIBAGI"/>
        <m/>
      </sharedItems>
    </cacheField>
    <cacheField name="EQUIP" numFmtId="0">
      <sharedItems containsBlank="1" count="7">
        <s v="TRATOR"/>
        <s v="PLATAFORMA"/>
        <s v="COLHEITADEIRA"/>
        <s v="PULVERIZADOR"/>
        <s v="PLANTADEIRA"/>
        <s v="CARRE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66190648148" createdVersion="8" refreshedVersion="8" minRefreshableVersion="3" recordCount="102" xr:uid="{3AF7DCA1-06C4-44E7-9752-810589FEE262}">
  <cacheSource type="worksheet">
    <worksheetSource ref="A1:G1048576" sheet="PEDIDO COMPRA"/>
  </cacheSource>
  <cacheFields count="7">
    <cacheField name="TIPO" numFmtId="0">
      <sharedItems containsBlank="1" count="13">
        <s v="Manutenção VW"/>
        <s v="Manutenção DAF"/>
        <s v="Frete Peças T"/>
        <s v="Frete Peças M"/>
        <s v="Frete Máq. Trator"/>
        <s v="Munck"/>
        <s v="Frete Máq. Colheitadeira"/>
        <s v="Frete Máq. Plataforma"/>
        <s v="Frete Máq. Carreta"/>
        <s v="Frete Máq. Pulverizador"/>
        <s v="Frete Máq. Plantadeira"/>
        <m/>
        <s v="Frete Peças" u="1"/>
      </sharedItems>
    </cacheField>
    <cacheField name="FILIAL" numFmtId="0">
      <sharedItems containsBlank="1" count="8">
        <s v="PG"/>
        <s v="ARAPOTI"/>
        <s v="IRATI"/>
        <s v="PRUDE"/>
        <s v="CASTRO"/>
        <s v="GRPVA"/>
        <s v="TIBAGI"/>
        <m/>
      </sharedItems>
    </cacheField>
    <cacheField name="DATA" numFmtId="14">
      <sharedItems containsNonDate="0" containsDate="1" containsString="0" containsBlank="1" minDate="2025-10-25T00:00:00" maxDate="2025-11-20T00:00:00" count="16">
        <d v="2025-11-10T00:00:00"/>
        <d v="2025-11-05T00:00:00"/>
        <d v="2025-11-04T00:00:00"/>
        <d v="2025-11-03T00:00:00"/>
        <d v="2025-11-06T00:00:00"/>
        <d v="2025-11-07T00:00:00"/>
        <d v="2025-11-11T00:00:00"/>
        <d v="2025-11-12T00:00:00"/>
        <d v="2025-11-14T00:00:00"/>
        <d v="2025-11-01T00:00:00"/>
        <d v="2025-11-13T00:00:00"/>
        <d v="2025-11-17T00:00:00"/>
        <d v="2025-10-25T00:00:00"/>
        <d v="2025-11-19T00:00:00"/>
        <d v="2025-11-18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1">
        <s v="DER - AET VEICULOS"/>
        <s v="DETRAN PR"/>
        <s v="DNIT"/>
        <s v="ESC -TR PEÇA"/>
        <s v="ANDREIA R. COURIER"/>
        <s v="JOHN ELVIS COURIER"/>
        <s v="DELTA MOTOS COURIER"/>
        <s v="MARCOS D. COURIER"/>
        <s v="STOSKI -TR MAQ"/>
        <s v="PRINCESA -TR PEÇA"/>
        <s v="TRANSCAPITINGA-TR MAQ"/>
        <s v="UNIBOY COURIER"/>
        <s v="SERIE4 - MT 1"/>
        <s v="JORGE LUIZ 2 COURIER"/>
        <s v="ANDREANI - MT"/>
        <s v="JOSEAMILTON1 COURIER"/>
        <s v="CARGADEDICADA -TR PEÇA"/>
        <s v="MAZETTO -TR MAQ"/>
        <s v="GRICZYNSKI -TR MAQ"/>
        <s v="AGROMAQ -TR MAQ"/>
        <s v="MUNCK IRATI -TR MAQ"/>
        <s v="SUL LONAS - MT"/>
        <s v="MEGA TRUCK ACESSORIOS - MT"/>
        <s v="INCOMESPMUNCK -TR MAQ"/>
        <s v="MONTPAR GUINDASTES"/>
        <s v="ZORTEA -TR MAQ"/>
        <s v="LUG -TR MAQ"/>
        <s v="JAPA MARRERO -TR MAQ"/>
        <s v="MULTISOLDAS E MUNCK"/>
        <s v="TX LOG -TR PEÇA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CONCLUIDO"/>
    <x v="0"/>
    <d v="1899-12-30T02:27:00"/>
    <n v="98"/>
    <x v="0"/>
    <x v="0"/>
    <x v="0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x v="0"/>
    <x v="0"/>
  </r>
  <r>
    <s v="CONCLUIDO"/>
    <x v="0"/>
    <d v="1899-12-30T02:52:30"/>
    <n v="115"/>
    <x v="0"/>
    <x v="1"/>
    <x v="1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x v="0"/>
    <x v="0"/>
  </r>
  <r>
    <s v="CONCLUIDO"/>
    <x v="0"/>
    <d v="1899-12-30T02:52:30"/>
    <n v="115"/>
    <x v="0"/>
    <x v="0"/>
    <x v="2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x v="0"/>
    <x v="0"/>
  </r>
  <r>
    <s v="CONCLUIDO"/>
    <x v="1"/>
    <d v="1899-12-30T03:45:00"/>
    <n v="150"/>
    <x v="0"/>
    <x v="2"/>
    <x v="3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x v="1"/>
    <x v="0"/>
  </r>
  <r>
    <s v="CONCLUIDO"/>
    <x v="1"/>
    <d v="1899-12-30T04:18:00"/>
    <n v="172"/>
    <x v="0"/>
    <x v="3"/>
    <x v="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x v="1"/>
    <x v="1"/>
  </r>
  <r>
    <s v="CONCLUIDO"/>
    <x v="1"/>
    <d v="1899-12-30T04:18:00"/>
    <n v="172"/>
    <x v="0"/>
    <x v="3"/>
    <x v="5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x v="1"/>
    <x v="2"/>
  </r>
  <r>
    <s v="CONCLUIDO"/>
    <x v="2"/>
    <d v="1899-12-30T01:45:00"/>
    <n v="70"/>
    <x v="0"/>
    <x v="4"/>
    <x v="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x v="0"/>
    <x v="0"/>
  </r>
  <r>
    <s v="CONCLUIDO"/>
    <x v="3"/>
    <d v="1899-12-30T08:15:00"/>
    <n v="330"/>
    <x v="1"/>
    <x v="5"/>
    <x v="7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x v="2"/>
    <x v="3"/>
  </r>
  <r>
    <s v="CONCLUIDO"/>
    <x v="3"/>
    <d v="1899-12-30T01:24:00"/>
    <n v="56"/>
    <x v="2"/>
    <x v="5"/>
    <x v="8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x v="2"/>
    <x v="0"/>
  </r>
  <r>
    <s v="CONCLUIDO"/>
    <x v="4"/>
    <d v="1899-12-30T04:37:30"/>
    <n v="185"/>
    <x v="0"/>
    <x v="6"/>
    <x v="9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x v="3"/>
    <x v="0"/>
  </r>
  <r>
    <s v="CONCLUIDO"/>
    <x v="5"/>
    <d v="1899-12-30T01:16:30"/>
    <n v="51"/>
    <x v="3"/>
    <x v="5"/>
    <x v="10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x v="2"/>
    <x v="0"/>
  </r>
  <r>
    <s v="CONCLUIDO"/>
    <x v="3"/>
    <d v="1899-12-30T00:33:00"/>
    <n v="22"/>
    <x v="4"/>
    <x v="5"/>
    <x v="11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x v="2"/>
    <x v="3"/>
  </r>
  <r>
    <s v="CONCLUIDO"/>
    <x v="1"/>
    <d v="1899-12-30T04:00:00"/>
    <n v="160"/>
    <x v="0"/>
    <x v="7"/>
    <x v="12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x v="1"/>
    <x v="0"/>
  </r>
  <r>
    <s v="CONCLUIDO"/>
    <x v="4"/>
    <d v="1899-12-30T03:15:00"/>
    <n v="130"/>
    <x v="0"/>
    <x v="8"/>
    <x v="13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x v="3"/>
    <x v="0"/>
  </r>
  <r>
    <s v="CONCLUIDO (D)"/>
    <x v="5"/>
    <d v="1899-12-30T03:45:00"/>
    <n v="150"/>
    <x v="5"/>
    <x v="5"/>
    <x v="14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x v="2"/>
    <x v="1"/>
  </r>
  <r>
    <s v="CONCLUIDO (D)"/>
    <x v="5"/>
    <d v="1899-12-30T03:45:00"/>
    <n v="150"/>
    <x v="5"/>
    <x v="5"/>
    <x v="1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x v="2"/>
    <x v="2"/>
  </r>
  <r>
    <s v="CONCLUIDO"/>
    <x v="3"/>
    <d v="1899-12-30T06:07:30"/>
    <n v="245"/>
    <x v="6"/>
    <x v="5"/>
    <x v="16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x v="0"/>
    <x v="0"/>
  </r>
  <r>
    <s v="CONCLUIDO"/>
    <x v="5"/>
    <d v="1899-12-30T04:22:30"/>
    <n v="175"/>
    <x v="7"/>
    <x v="5"/>
    <x v="17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x v="2"/>
    <x v="2"/>
  </r>
  <r>
    <s v="CONCLUIDO"/>
    <x v="5"/>
    <d v="1899-12-30T04:22:30"/>
    <n v="175"/>
    <x v="7"/>
    <x v="5"/>
    <x v="18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x v="2"/>
    <x v="0"/>
  </r>
  <r>
    <s v="CONCLUIDO"/>
    <x v="1"/>
    <d v="1899-12-30T08:15:00"/>
    <n v="330"/>
    <x v="0"/>
    <x v="9"/>
    <x v="19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x v="1"/>
    <x v="0"/>
  </r>
  <r>
    <s v="CONCLUIDO"/>
    <x v="5"/>
    <d v="1899-12-30T08:07:30"/>
    <n v="325"/>
    <x v="8"/>
    <x v="5"/>
    <x v="20"/>
    <x v="5"/>
    <d v="2025-11-11T00:00:00"/>
    <s v="TRANSF -NF000076886"/>
    <s v="marcio.jacovossi"/>
    <s v="IRATI"/>
    <s v="PRUDENTÓPOLIS"/>
    <s v="DE LOJA PARA LOJA"/>
    <s v="MPA"/>
    <s v="MPA"/>
    <s v="N/A"/>
    <x v="0"/>
    <x v="2"/>
  </r>
  <r>
    <s v="CONCLUIDO"/>
    <x v="5"/>
    <d v="1899-12-30T06:22:30"/>
    <n v="255"/>
    <x v="9"/>
    <x v="5"/>
    <x v="21"/>
    <x v="5"/>
    <d v="2025-11-11T00:00:00"/>
    <s v="TRANSF -NF000076884"/>
    <s v="marcio.jacovossi"/>
    <s v="IRATI"/>
    <s v="PRUDENTÓPOLIS"/>
    <s v="DE LOJA PARA LOJA"/>
    <s v="MPA"/>
    <s v="MPA"/>
    <s v="N/A"/>
    <x v="0"/>
    <x v="0"/>
  </r>
  <r>
    <s v="CONCLUIDO"/>
    <x v="5"/>
    <d v="1899-12-30T06:22:30"/>
    <n v="255"/>
    <x v="9"/>
    <x v="5"/>
    <x v="22"/>
    <x v="5"/>
    <d v="2025-11-11T00:00:00"/>
    <s v="TRANSF -NF000076884"/>
    <s v="marcio.jacovossi"/>
    <s v="IRATI"/>
    <s v="PRUDENTÓPOLIS"/>
    <s v="DE LOJA PARA LOJA"/>
    <s v="MPA"/>
    <s v="MPA"/>
    <s v="N/A"/>
    <x v="0"/>
    <x v="0"/>
  </r>
  <r>
    <s v="CONCLUIDO"/>
    <x v="5"/>
    <d v="1899-12-30T08:07:30"/>
    <n v="325"/>
    <x v="8"/>
    <x v="5"/>
    <x v="23"/>
    <x v="5"/>
    <d v="2025-11-11T00:00:00"/>
    <s v="TRANSF -NF000076891"/>
    <s v="marcio.jacovossi"/>
    <s v="IRATI"/>
    <s v="PRUDENTÓPOLIS"/>
    <s v="DE LOJA PARA LOJA"/>
    <s v="MPA"/>
    <s v="MPA"/>
    <s v="N/A"/>
    <x v="0"/>
    <x v="0"/>
  </r>
  <r>
    <s v="CONCLUIDO"/>
    <x v="1"/>
    <d v="1899-12-30T01:57:00"/>
    <n v="78"/>
    <x v="0"/>
    <x v="10"/>
    <x v="24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x v="1"/>
    <x v="0"/>
  </r>
  <r>
    <s v="CONCLUIDO (D)"/>
    <x v="5"/>
    <d v="1899-12-30T12:30:00"/>
    <n v="500"/>
    <x v="10"/>
    <x v="5"/>
    <x v="2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x v="1"/>
    <x v="1"/>
  </r>
  <r>
    <s v="CONCLUIDO (D)"/>
    <x v="5"/>
    <d v="1899-12-30T12:30:00"/>
    <n v="500"/>
    <x v="11"/>
    <x v="5"/>
    <x v="2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x v="1"/>
    <x v="2"/>
  </r>
  <r>
    <s v="CONCLUIDO"/>
    <x v="3"/>
    <d v="1899-12-30T01:25:30"/>
    <n v="57"/>
    <x v="12"/>
    <x v="5"/>
    <x v="27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x v="2"/>
    <x v="0"/>
  </r>
  <r>
    <s v="CONCLUIDO"/>
    <x v="5"/>
    <d v="1899-12-30T02:30:00"/>
    <n v="100"/>
    <x v="13"/>
    <x v="5"/>
    <x v="28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x v="2"/>
    <x v="0"/>
  </r>
  <r>
    <s v="CONCLUIDO"/>
    <x v="3"/>
    <d v="1899-12-30T02:37:30"/>
    <n v="105"/>
    <x v="14"/>
    <x v="5"/>
    <x v="29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x v="0"/>
    <x v="0"/>
  </r>
  <r>
    <s v="CONCLUIDO"/>
    <x v="3"/>
    <d v="1899-12-30T01:48:00"/>
    <n v="72"/>
    <x v="15"/>
    <x v="5"/>
    <x v="30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x v="0"/>
    <x v="0"/>
  </r>
  <r>
    <s v="CONCLUIDO"/>
    <x v="3"/>
    <d v="1899-12-30T02:52:30"/>
    <n v="115"/>
    <x v="16"/>
    <x v="5"/>
    <x v="2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x v="0"/>
    <x v="0"/>
  </r>
  <r>
    <s v="CONCLUIDO"/>
    <x v="6"/>
    <d v="1899-12-30T02:28:30"/>
    <n v="99"/>
    <x v="0"/>
    <x v="11"/>
    <x v="31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x v="3"/>
    <x v="0"/>
  </r>
  <r>
    <s v="CONCLUIDO"/>
    <x v="0"/>
    <d v="1899-12-30T02:15:00"/>
    <n v="90"/>
    <x v="0"/>
    <x v="12"/>
    <x v="32"/>
    <x v="8"/>
    <d v="2025-11-14T00:00:00"/>
    <s v="CLIENTE → MANUTENÇÃO"/>
    <s v="daisy.kakol"/>
    <s v="CLIENTE"/>
    <s v="IRATI"/>
    <s v="DE CLIENTE PARA LOJA"/>
    <s v="CLIENTE"/>
    <s v="MPA"/>
    <m/>
    <x v="4"/>
    <x v="0"/>
  </r>
  <r>
    <s v="CONCLUIDO"/>
    <x v="0"/>
    <d v="1899-12-30T02:06:00"/>
    <n v="84"/>
    <x v="0"/>
    <x v="13"/>
    <x v="33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x v="0"/>
    <x v="0"/>
  </r>
  <r>
    <s v="CONCLUIDO"/>
    <x v="0"/>
    <d v="1899-12-30T02:39:00"/>
    <n v="106"/>
    <x v="0"/>
    <x v="0"/>
    <x v="34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x v="0"/>
    <x v="0"/>
  </r>
  <r>
    <s v="CONCLUIDO"/>
    <x v="7"/>
    <d v="1899-12-30T04:09:00"/>
    <n v="166"/>
    <x v="0"/>
    <x v="14"/>
    <x v="35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x v="3"/>
    <x v="0"/>
  </r>
  <r>
    <s v="CONCLUIDO"/>
    <x v="1"/>
    <d v="1899-12-30T10:30:00"/>
    <n v="420"/>
    <x v="0"/>
    <x v="15"/>
    <x v="36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x v="5"/>
    <x v="0"/>
  </r>
  <r>
    <s v="CONCLUIDO (D)"/>
    <x v="3"/>
    <d v="1899-12-30T07:39:00"/>
    <n v="306"/>
    <x v="17"/>
    <x v="5"/>
    <x v="37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x v="3"/>
    <x v="0"/>
  </r>
  <r>
    <s v="CONCLUIDO (D)"/>
    <x v="3"/>
    <d v="1899-12-30T07:39:00"/>
    <n v="306"/>
    <x v="17"/>
    <x v="5"/>
    <x v="38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x v="3"/>
    <x v="0"/>
  </r>
  <r>
    <s v="CONCLUIDO (D)"/>
    <x v="8"/>
    <d v="1899-12-30T11:57:00"/>
    <n v="478"/>
    <x v="0"/>
    <x v="16"/>
    <x v="39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x v="3"/>
    <x v="1"/>
  </r>
  <r>
    <s v="CONCLUIDO (D)"/>
    <x v="8"/>
    <d v="1899-12-30T11:57:00"/>
    <n v="478"/>
    <x v="0"/>
    <x v="17"/>
    <x v="40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x v="3"/>
    <x v="2"/>
  </r>
  <r>
    <s v="CONCLUIDO (D)"/>
    <x v="3"/>
    <d v="1899-12-30T07:39:00"/>
    <n v="306"/>
    <x v="17"/>
    <x v="5"/>
    <x v="37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x v="3"/>
    <x v="0"/>
  </r>
  <r>
    <s v="CONCLUIDO (D)"/>
    <x v="3"/>
    <d v="1899-12-30T07:39:00"/>
    <n v="306"/>
    <x v="17"/>
    <x v="5"/>
    <x v="38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x v="3"/>
    <x v="0"/>
  </r>
  <r>
    <s v="CONCLUIDO (D)"/>
    <x v="3"/>
    <d v="1899-12-30T05:00:00"/>
    <n v="200"/>
    <x v="18"/>
    <x v="5"/>
    <x v="41"/>
    <x v="10"/>
    <d v="2025-11-18T00:00:00"/>
    <s v="FAZENDINHA -NF61895"/>
    <s v="josiane.oliveira"/>
    <s v="CLIENTE"/>
    <s v="CLIENTE"/>
    <s v="DE CLIENTE PARA CLIENTE"/>
    <m/>
    <s v="https://maps.app.goo.gl/HAQzMitpSPVxhKFi9"/>
    <m/>
    <x v="3"/>
    <x v="0"/>
  </r>
  <r>
    <s v="EM ROTA"/>
    <x v="9"/>
    <d v="1899-12-30T18:19:30"/>
    <n v="733"/>
    <x v="0"/>
    <x v="18"/>
    <x v="42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x v="1"/>
    <x v="3"/>
  </r>
  <r>
    <s v="EM ROTA (D)"/>
    <x v="6"/>
    <d v="1899-12-30T04:40:30"/>
    <n v="187"/>
    <x v="0"/>
    <x v="19"/>
    <x v="43"/>
    <x v="10"/>
    <d v="2025-11-18T00:00:00"/>
    <s v="FAZENDINHA -NF61895"/>
    <s v="josiane.oliveira"/>
    <s v="ARAPOTI"/>
    <s v="CLIENTE"/>
    <s v="DE CLIENTE PARA LOJA"/>
    <s v="MPA"/>
    <s v="https://maps.app.goo.gl/HAQzMitpSPVxhKFi9"/>
    <m/>
    <x v="3"/>
    <x v="4"/>
  </r>
  <r>
    <s v="PROGRAMADO (D)"/>
    <x v="6"/>
    <d v="1899-12-30T11:57:00"/>
    <n v="478"/>
    <x v="0"/>
    <x v="0"/>
    <x v="39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x v="3"/>
    <x v="1"/>
  </r>
  <r>
    <s v="PROGRAMADO (D)"/>
    <x v="6"/>
    <d v="1899-12-30T11:57:00"/>
    <n v="478"/>
    <x v="0"/>
    <x v="20"/>
    <x v="40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x v="3"/>
    <x v="2"/>
  </r>
  <r>
    <s v="PROGRAMADO"/>
    <x v="6"/>
    <d v="1899-12-30T00:33:00"/>
    <n v="22"/>
    <x v="0"/>
    <x v="21"/>
    <x v="44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x v="3"/>
    <x v="1"/>
  </r>
  <r>
    <s v="PROGRAMADO"/>
    <x v="6"/>
    <d v="1899-12-30T00:33:00"/>
    <n v="22"/>
    <x v="0"/>
    <x v="22"/>
    <x v="45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x v="3"/>
    <x v="2"/>
  </r>
  <r>
    <s v="PROGRAMADO"/>
    <x v="6"/>
    <d v="1899-12-30T00:33:00"/>
    <n v="22"/>
    <x v="0"/>
    <x v="0"/>
    <x v="46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  <x v="5"/>
  </r>
  <r>
    <s v="PROGRAMADO"/>
    <x v="6"/>
    <d v="1899-12-30T00:33:00"/>
    <n v="22"/>
    <x v="0"/>
    <x v="0"/>
    <x v="47"/>
    <x v="11"/>
    <m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x v="3"/>
    <x v="5"/>
  </r>
  <r>
    <s v="PROGRAMADO"/>
    <x v="6"/>
    <d v="1899-12-30T00:33:00"/>
    <n v="22"/>
    <x v="0"/>
    <x v="22"/>
    <x v="48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  <x v="2"/>
  </r>
  <r>
    <s v="PROGRAMADO"/>
    <x v="6"/>
    <d v="1899-12-30T00:33:00"/>
    <n v="22"/>
    <x v="0"/>
    <x v="21"/>
    <x v="49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  <x v="1"/>
  </r>
  <r>
    <s v="PROGRAMADO"/>
    <x v="1"/>
    <d v="1899-12-30T05:30:00"/>
    <n v="220"/>
    <x v="0"/>
    <x v="5"/>
    <x v="50"/>
    <x v="11"/>
    <m/>
    <s v="PATRICIA H O HASEGAWA -NF106525"/>
    <s v="euclides.junior"/>
    <s v="GUARAPUAVA"/>
    <s v="CLIENTE"/>
    <s v="DE LOJA PARA CLIENTE"/>
    <s v="MPA"/>
    <s v="https://maps.app.goo.gl/sUh1AADFcu4n8yPE8?g_st=iw"/>
    <s v="Patricia"/>
    <x v="1"/>
    <x v="0"/>
  </r>
  <r>
    <s v="PROGRAMADO"/>
    <x v="1"/>
    <d v="1899-12-30T02:15:00"/>
    <n v="90"/>
    <x v="0"/>
    <x v="5"/>
    <x v="51"/>
    <x v="11"/>
    <m/>
    <s v="BRUNNO F VIOMAR -NF 107324"/>
    <s v="euclides.junior"/>
    <s v="GUARAPUAVA"/>
    <s v="CLIENTE"/>
    <s v="DE LOJA PARA CLIENTE"/>
    <s v="MPA"/>
    <s v="https://maps.app.goo.gl/dMP2u2euHz5GQfGg7"/>
    <s v="Bruno"/>
    <x v="1"/>
    <x v="0"/>
  </r>
  <r>
    <s v="PROGRAMADO"/>
    <x v="1"/>
    <d v="1899-12-30T03:03:00"/>
    <n v="122"/>
    <x v="0"/>
    <x v="5"/>
    <x v="52"/>
    <x v="11"/>
    <m/>
    <s v="ANDRE MUZZOLON TURCO -NF10833"/>
    <s v="euclides.junior"/>
    <s v="GUARAPUAVA"/>
    <s v="CLIENTE"/>
    <s v="DE LOJA PARA CLIENTE"/>
    <s v="MPA"/>
    <s v="https://maps.app.goo.gl/k8sSRQfK1xFP8eN89"/>
    <s v="Andre"/>
    <x v="1"/>
    <x v="2"/>
  </r>
  <r>
    <s v="PROGRAMADO"/>
    <x v="0"/>
    <d v="1899-12-30T03:30:00"/>
    <n v="140"/>
    <x v="0"/>
    <x v="23"/>
    <x v="53"/>
    <x v="11"/>
    <m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x v="4"/>
    <x v="0"/>
  </r>
  <r>
    <s v="PROGRAMADO (D)"/>
    <x v="3"/>
    <d v="1899-12-30T01:24:00"/>
    <n v="56"/>
    <x v="2"/>
    <x v="5"/>
    <x v="54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x v="2"/>
    <x v="0"/>
  </r>
  <r>
    <s v="PROGRAMADO (D)"/>
    <x v="3"/>
    <d v="1899-12-30T01:24:00"/>
    <n v="56"/>
    <x v="2"/>
    <x v="5"/>
    <x v="55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x v="2"/>
    <x v="0"/>
  </r>
  <r>
    <s v="RECEBIDO (D)"/>
    <x v="10"/>
    <d v="1899-12-30T03:45:00"/>
    <n v="150"/>
    <x v="19"/>
    <x v="5"/>
    <x v="14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x v="2"/>
    <x v="1"/>
  </r>
  <r>
    <s v="RECEBIDO (D)"/>
    <x v="10"/>
    <d v="1899-12-30T03:45:00"/>
    <n v="150"/>
    <x v="10"/>
    <x v="5"/>
    <x v="15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x v="2"/>
    <x v="2"/>
  </r>
  <r>
    <s v="RECEBIDO"/>
    <x v="10"/>
    <d v="1899-12-30T11:52:30"/>
    <n v="475"/>
    <x v="20"/>
    <x v="5"/>
    <x v="56"/>
    <x v="13"/>
    <m/>
    <s v="HAROLDO L R FILHO -NF109957"/>
    <s v="fernando.wiesinies"/>
    <s v="GUARAPUAVA"/>
    <s v="CLIENTE"/>
    <s v="DE LOJA PARA CLIENTE"/>
    <s v="MPA"/>
    <s v="https://maps.app.goo.gl/SAQGugLBfo1Uqy2XA?g_st=awb"/>
    <s v="Haroldo (51)99902-8053"/>
    <x v="5"/>
    <x v="0"/>
  </r>
  <r>
    <s v="RECEBIDO (D)"/>
    <x v="10"/>
    <d v="1899-12-30T02:03:00"/>
    <n v="82"/>
    <x v="21"/>
    <x v="5"/>
    <x v="57"/>
    <x v="14"/>
    <m/>
    <s v="NÃO INFORMADO- NÃO TEM NF"/>
    <s v="marcos.ribas"/>
    <s v="PONTA GROSSA"/>
    <s v="CLIENTE"/>
    <s v="DE LOJA PARA DEMONSTRAÇÃO"/>
    <s v="MPA"/>
    <s v="https://maps.app.goo.gl/BxL47zGps2wAbAig9"/>
    <m/>
    <x v="2"/>
    <x v="0"/>
  </r>
  <r>
    <s v="RECEBIDO (D)"/>
    <x v="10"/>
    <d v="1899-12-30T03:45:00"/>
    <n v="150"/>
    <x v="22"/>
    <x v="5"/>
    <x v="58"/>
    <x v="15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45:00"/>
    <n v="150"/>
    <x v="22"/>
    <x v="5"/>
    <x v="59"/>
    <x v="15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45:00"/>
    <n v="150"/>
    <x v="22"/>
    <x v="5"/>
    <x v="60"/>
    <x v="15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0:37:30"/>
    <n v="25"/>
    <x v="23"/>
    <x v="5"/>
    <x v="54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x v="2"/>
    <x v="0"/>
  </r>
  <r>
    <s v="RECEBIDO (D)"/>
    <x v="10"/>
    <d v="1899-12-30T12:30:00"/>
    <n v="500"/>
    <x v="24"/>
    <x v="5"/>
    <x v="55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x v="2"/>
    <x v="0"/>
  </r>
  <r>
    <s v="RECEBIDO (D)"/>
    <x v="10"/>
    <d v="1899-12-30T05:00:00"/>
    <n v="200"/>
    <x v="18"/>
    <x v="5"/>
    <x v="41"/>
    <x v="15"/>
    <m/>
    <s v="FAZENDINHA -NF61895  VOLTA"/>
    <s v="josiane.oliveira"/>
    <s v="CLIENTE"/>
    <s v="CLIENTE"/>
    <s v="DE CLIENTE PARA CLIENTE"/>
    <m/>
    <s v="https://maps.app.goo.gl/HAQzMitpSPVxhKFi9"/>
    <m/>
    <x v="3"/>
    <x v="0"/>
  </r>
  <r>
    <s v="RECEBIDO (D)"/>
    <x v="10"/>
    <d v="1899-12-30T04:40:30"/>
    <n v="187"/>
    <x v="25"/>
    <x v="5"/>
    <x v="43"/>
    <x v="15"/>
    <m/>
    <s v="FAZENDINHA -NF61895  VOLTA"/>
    <s v="josiane.oliveira"/>
    <s v="ARAPOTI"/>
    <s v="CLIENTE"/>
    <s v="DE CLIENTE PARA LOJA"/>
    <s v="MPA"/>
    <s v="https://maps.app.goo.gl/HAQzMitpSPVxhKFi9"/>
    <m/>
    <x v="3"/>
    <x v="4"/>
  </r>
  <r>
    <s v="RECEBIDO (D)"/>
    <x v="10"/>
    <d v="1899-12-30T03:45:00"/>
    <n v="150"/>
    <x v="22"/>
    <x v="5"/>
    <x v="58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45:00"/>
    <n v="150"/>
    <x v="22"/>
    <x v="5"/>
    <x v="59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45:00"/>
    <n v="150"/>
    <x v="22"/>
    <x v="5"/>
    <x v="60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33:00"/>
    <n v="142"/>
    <x v="26"/>
    <x v="5"/>
    <x v="37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  <x v="0"/>
  </r>
  <r>
    <s v="RECEBIDO (D)"/>
    <x v="10"/>
    <d v="1899-12-30T03:33:00"/>
    <n v="142"/>
    <x v="26"/>
    <x v="5"/>
    <x v="3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  <x v="0"/>
  </r>
  <r>
    <s v="RECEBIDO (D)"/>
    <x v="10"/>
    <d v="1899-12-30T03:33:00"/>
    <n v="142"/>
    <x v="19"/>
    <x v="5"/>
    <x v="61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  <x v="1"/>
  </r>
  <r>
    <s v="RECEBIDO (D)"/>
    <x v="10"/>
    <d v="1899-12-30T03:33:00"/>
    <n v="142"/>
    <x v="10"/>
    <x v="5"/>
    <x v="62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  <x v="2"/>
  </r>
  <r>
    <s v="RECEBIDO (D)"/>
    <x v="10"/>
    <d v="1899-12-30T07:09:00"/>
    <n v="286"/>
    <x v="27"/>
    <x v="5"/>
    <x v="37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  <x v="0"/>
  </r>
  <r>
    <s v="RECEBIDO (D)"/>
    <x v="10"/>
    <d v="1899-12-30T07:09:00"/>
    <n v="286"/>
    <x v="27"/>
    <x v="5"/>
    <x v="3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  <x v="0"/>
  </r>
  <r>
    <s v="RECEBIDO (D)"/>
    <x v="10"/>
    <d v="1899-12-30T07:09:00"/>
    <n v="286"/>
    <x v="13"/>
    <x v="5"/>
    <x v="61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  <x v="1"/>
  </r>
  <r>
    <s v="RECEBIDO (D)"/>
    <x v="10"/>
    <d v="1899-12-30T07:09:00"/>
    <n v="286"/>
    <x v="28"/>
    <x v="5"/>
    <x v="62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  <x v="2"/>
  </r>
  <r>
    <s v="SUSPENSO"/>
    <x v="10"/>
    <d v="1899-12-30T00:40:30"/>
    <n v="27"/>
    <x v="29"/>
    <x v="5"/>
    <x v="61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x v="2"/>
    <x v="1"/>
  </r>
  <r>
    <s v="SUSPENSO"/>
    <x v="10"/>
    <d v="1899-12-30T00:40:30"/>
    <n v="27"/>
    <x v="19"/>
    <x v="5"/>
    <x v="62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x v="2"/>
    <x v="2"/>
  </r>
  <r>
    <s v="SUSPENSO"/>
    <x v="10"/>
    <d v="1899-12-30T02:34:30"/>
    <n v="103"/>
    <x v="30"/>
    <x v="5"/>
    <x v="63"/>
    <x v="18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x v="2"/>
    <x v="0"/>
  </r>
  <r>
    <s v="SUSPENSO"/>
    <x v="10"/>
    <d v="1899-12-30T02:34:30"/>
    <n v="103"/>
    <x v="30"/>
    <x v="5"/>
    <x v="64"/>
    <x v="18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x v="2"/>
    <x v="0"/>
  </r>
  <r>
    <s v="SUSPENSO"/>
    <x v="10"/>
    <d v="1899-12-30T03:30:00"/>
    <n v="140"/>
    <x v="19"/>
    <x v="5"/>
    <x v="65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x v="2"/>
    <x v="1"/>
  </r>
  <r>
    <s v="SUSPENSO"/>
    <x v="10"/>
    <d v="1899-12-30T03:30:00"/>
    <n v="140"/>
    <x v="10"/>
    <x v="5"/>
    <x v="66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x v="2"/>
    <x v="2"/>
  </r>
  <r>
    <m/>
    <x v="11"/>
    <m/>
    <m/>
    <x v="0"/>
    <x v="5"/>
    <x v="32"/>
    <x v="19"/>
    <m/>
    <m/>
    <m/>
    <m/>
    <m/>
    <m/>
    <m/>
    <m/>
    <m/>
    <x v="7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x v="0"/>
    <x v="0"/>
    <s v="047116"/>
    <s v="076669324"/>
    <x v="0"/>
    <n v="133.13"/>
  </r>
  <r>
    <x v="1"/>
    <x v="0"/>
    <x v="1"/>
    <s v="047117"/>
    <s v="078206513"/>
    <x v="1"/>
    <n v="156.18"/>
  </r>
  <r>
    <x v="1"/>
    <x v="0"/>
    <x v="1"/>
    <s v="047117"/>
    <s v="078206513"/>
    <x v="1"/>
    <n v="94.61"/>
  </r>
  <r>
    <x v="0"/>
    <x v="0"/>
    <x v="2"/>
    <s v="047178"/>
    <s v="004892707"/>
    <x v="2"/>
    <n v="87.62"/>
  </r>
  <r>
    <x v="2"/>
    <x v="1"/>
    <x v="3"/>
    <s v="047186"/>
    <s v="027525938"/>
    <x v="3"/>
    <n v="1100"/>
  </r>
  <r>
    <x v="2"/>
    <x v="2"/>
    <x v="3"/>
    <s v="047187"/>
    <s v="027525938"/>
    <x v="3"/>
    <n v="550"/>
  </r>
  <r>
    <x v="2"/>
    <x v="0"/>
    <x v="3"/>
    <s v="047188"/>
    <s v="027525938"/>
    <x v="3"/>
    <n v="600"/>
  </r>
  <r>
    <x v="2"/>
    <x v="3"/>
    <x v="3"/>
    <s v="047189"/>
    <s v="027525938"/>
    <x v="3"/>
    <n v="550"/>
  </r>
  <r>
    <x v="2"/>
    <x v="4"/>
    <x v="3"/>
    <s v="047190"/>
    <s v="027525938"/>
    <x v="3"/>
    <n v="850"/>
  </r>
  <r>
    <x v="2"/>
    <x v="5"/>
    <x v="3"/>
    <s v="047192"/>
    <s v="027525938"/>
    <x v="3"/>
    <n v="1100"/>
  </r>
  <r>
    <x v="2"/>
    <x v="6"/>
    <x v="3"/>
    <s v="047193"/>
    <s v="027525938"/>
    <x v="3"/>
    <n v="830"/>
  </r>
  <r>
    <x v="3"/>
    <x v="6"/>
    <x v="3"/>
    <s v="047258"/>
    <s v="061196032"/>
    <x v="4"/>
    <n v="200"/>
  </r>
  <r>
    <x v="3"/>
    <x v="3"/>
    <x v="2"/>
    <s v="047199"/>
    <s v="034154225"/>
    <x v="5"/>
    <n v="150"/>
  </r>
  <r>
    <x v="3"/>
    <x v="6"/>
    <x v="3"/>
    <s v="047247"/>
    <s v="049138592"/>
    <x v="6"/>
    <n v="1210"/>
  </r>
  <r>
    <x v="3"/>
    <x v="4"/>
    <x v="1"/>
    <s v="047267"/>
    <s v="051496564"/>
    <x v="7"/>
    <n v="520"/>
  </r>
  <r>
    <x v="3"/>
    <x v="5"/>
    <x v="1"/>
    <s v="047268"/>
    <s v="051496564"/>
    <x v="7"/>
    <n v="180"/>
  </r>
  <r>
    <x v="4"/>
    <x v="2"/>
    <x v="2"/>
    <s v="047269"/>
    <s v="032878844"/>
    <x v="8"/>
    <n v="910"/>
  </r>
  <r>
    <x v="3"/>
    <x v="0"/>
    <x v="1"/>
    <s v="047348"/>
    <s v="080227796"/>
    <x v="9"/>
    <n v="529.48"/>
  </r>
  <r>
    <x v="3"/>
    <x v="0"/>
    <x v="1"/>
    <s v="047348"/>
    <s v="080227796"/>
    <x v="9"/>
    <n v="371.14"/>
  </r>
  <r>
    <x v="3"/>
    <x v="5"/>
    <x v="3"/>
    <s v="047246"/>
    <s v="049138592"/>
    <x v="6"/>
    <n v="550"/>
  </r>
  <r>
    <x v="4"/>
    <x v="1"/>
    <x v="2"/>
    <s v="047315"/>
    <s v="006914002"/>
    <x v="10"/>
    <n v="1295"/>
  </r>
  <r>
    <x v="4"/>
    <x v="1"/>
    <x v="1"/>
    <s v="047315"/>
    <s v="006914002"/>
    <x v="10"/>
    <n v="975"/>
  </r>
  <r>
    <x v="3"/>
    <x v="4"/>
    <x v="4"/>
    <s v="047349"/>
    <s v="012772524"/>
    <x v="11"/>
    <n v="1860"/>
  </r>
  <r>
    <x v="3"/>
    <x v="2"/>
    <x v="3"/>
    <s v="047233"/>
    <s v="049138592"/>
    <x v="6"/>
    <n v="180"/>
  </r>
  <r>
    <x v="3"/>
    <x v="1"/>
    <x v="3"/>
    <s v="047243"/>
    <s v="049138592"/>
    <x v="6"/>
    <n v="990"/>
  </r>
  <r>
    <x v="3"/>
    <x v="3"/>
    <x v="3"/>
    <s v="047244"/>
    <s v="049138592"/>
    <x v="6"/>
    <n v="245"/>
  </r>
  <r>
    <x v="3"/>
    <x v="6"/>
    <x v="2"/>
    <s v="047437"/>
    <s v="061196032"/>
    <x v="4"/>
    <n v="80"/>
  </r>
  <r>
    <x v="3"/>
    <x v="0"/>
    <x v="3"/>
    <s v="047249"/>
    <s v="049138592"/>
    <x v="6"/>
    <n v="8245"/>
  </r>
  <r>
    <x v="3"/>
    <x v="6"/>
    <x v="3"/>
    <s v="047267"/>
    <s v="061196032"/>
    <x v="4"/>
    <n v="200"/>
  </r>
  <r>
    <x v="0"/>
    <x v="0"/>
    <x v="5"/>
    <s v="047383"/>
    <s v="010273940"/>
    <x v="12"/>
    <n v="2780"/>
  </r>
  <r>
    <x v="0"/>
    <x v="0"/>
    <x v="5"/>
    <s v="047383"/>
    <s v="010273940"/>
    <x v="12"/>
    <n v="840"/>
  </r>
  <r>
    <x v="3"/>
    <x v="5"/>
    <x v="2"/>
    <s v="047525"/>
    <s v="051496564"/>
    <x v="7"/>
    <n v="400"/>
  </r>
  <r>
    <x v="3"/>
    <x v="5"/>
    <x v="0"/>
    <s v="047525"/>
    <s v="051496564"/>
    <x v="7"/>
    <n v="250"/>
  </r>
  <r>
    <x v="3"/>
    <x v="5"/>
    <x v="5"/>
    <s v="047527"/>
    <s v="051496564"/>
    <x v="7"/>
    <n v="420"/>
  </r>
  <r>
    <x v="3"/>
    <x v="3"/>
    <x v="0"/>
    <s v="047550"/>
    <s v="031370636"/>
    <x v="13"/>
    <n v="700"/>
  </r>
  <r>
    <x v="0"/>
    <x v="0"/>
    <x v="4"/>
    <s v="047553"/>
    <s v="050435638"/>
    <x v="14"/>
    <n v="500"/>
  </r>
  <r>
    <x v="0"/>
    <x v="0"/>
    <x v="4"/>
    <s v="047553"/>
    <s v="050435638"/>
    <x v="14"/>
    <n v="397"/>
  </r>
  <r>
    <x v="3"/>
    <x v="4"/>
    <x v="6"/>
    <s v="047685"/>
    <s v="059376166"/>
    <x v="15"/>
    <n v="2390"/>
  </r>
  <r>
    <x v="3"/>
    <x v="6"/>
    <x v="7"/>
    <s v="047687"/>
    <s v="061196032"/>
    <x v="4"/>
    <n v="70"/>
  </r>
  <r>
    <x v="5"/>
    <x v="1"/>
    <x v="8"/>
    <s v="047738"/>
    <s v="006914002"/>
    <x v="10"/>
    <n v="800"/>
  </r>
  <r>
    <x v="2"/>
    <x v="0"/>
    <x v="5"/>
    <s v="047750"/>
    <s v="080227796"/>
    <x v="9"/>
    <n v="345.91"/>
  </r>
  <r>
    <x v="2"/>
    <x v="0"/>
    <x v="5"/>
    <s v="047750"/>
    <s v="080227796"/>
    <x v="9"/>
    <n v="49.74"/>
  </r>
  <r>
    <x v="2"/>
    <x v="0"/>
    <x v="5"/>
    <s v="047750"/>
    <s v="080227796"/>
    <x v="9"/>
    <n v="46.32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4"/>
    <x v="4"/>
    <x v="8"/>
    <s v="047804"/>
    <s v="018725298"/>
    <x v="17"/>
    <n v="3662.3"/>
  </r>
  <r>
    <x v="4"/>
    <x v="5"/>
    <x v="3"/>
    <s v="047805"/>
    <s v="018725298"/>
    <x v="17"/>
    <n v="1352"/>
  </r>
  <r>
    <x v="6"/>
    <x v="5"/>
    <x v="3"/>
    <s v="047805"/>
    <s v="018725298"/>
    <x v="17"/>
    <n v="650"/>
  </r>
  <r>
    <x v="7"/>
    <x v="5"/>
    <x v="3"/>
    <s v="047805"/>
    <s v="018725298"/>
    <x v="17"/>
    <n v="650"/>
  </r>
  <r>
    <x v="4"/>
    <x v="5"/>
    <x v="1"/>
    <s v="047805"/>
    <s v="018725298"/>
    <x v="17"/>
    <n v="1458"/>
  </r>
  <r>
    <x v="4"/>
    <x v="5"/>
    <x v="5"/>
    <s v="047806"/>
    <s v="018725298"/>
    <x v="17"/>
    <n v="2890"/>
  </r>
  <r>
    <x v="4"/>
    <x v="5"/>
    <x v="6"/>
    <s v="047806"/>
    <s v="018725298"/>
    <x v="17"/>
    <n v="1389"/>
  </r>
  <r>
    <x v="5"/>
    <x v="1"/>
    <x v="9"/>
    <s v="047315"/>
    <s v="006914002"/>
    <x v="10"/>
    <n v="1000"/>
  </r>
  <r>
    <x v="3"/>
    <x v="2"/>
    <x v="1"/>
    <s v="047328"/>
    <s v="031370636"/>
    <x v="13"/>
    <n v="180"/>
  </r>
  <r>
    <x v="4"/>
    <x v="2"/>
    <x v="9"/>
    <s v="047552"/>
    <s v="046304055"/>
    <x v="18"/>
    <n v="500"/>
  </r>
  <r>
    <x v="4"/>
    <x v="2"/>
    <x v="9"/>
    <s v="047552"/>
    <s v="046304055"/>
    <x v="18"/>
    <n v="300"/>
  </r>
  <r>
    <x v="4"/>
    <x v="2"/>
    <x v="9"/>
    <s v="047552"/>
    <s v="046304055"/>
    <x v="18"/>
    <n v="300"/>
  </r>
  <r>
    <x v="4"/>
    <x v="1"/>
    <x v="10"/>
    <s v="047572"/>
    <s v="019320206"/>
    <x v="19"/>
    <n v="1000"/>
  </r>
  <r>
    <x v="5"/>
    <x v="2"/>
    <x v="6"/>
    <s v="047573"/>
    <s v="030877442"/>
    <x v="20"/>
    <n v="1262"/>
  </r>
  <r>
    <x v="1"/>
    <x v="0"/>
    <x v="8"/>
    <s v="047732"/>
    <s v="024586837"/>
    <x v="21"/>
    <n v="4175"/>
  </r>
  <r>
    <x v="0"/>
    <x v="0"/>
    <x v="8"/>
    <s v="047733"/>
    <s v="037969440"/>
    <x v="22"/>
    <n v="800.04"/>
  </r>
  <r>
    <x v="8"/>
    <x v="1"/>
    <x v="8"/>
    <s v="047752"/>
    <s v="019320206"/>
    <x v="19"/>
    <n v="300"/>
  </r>
  <r>
    <x v="8"/>
    <x v="1"/>
    <x v="8"/>
    <s v="047752"/>
    <s v="019320206"/>
    <x v="19"/>
    <n v="300"/>
  </r>
  <r>
    <x v="6"/>
    <x v="1"/>
    <x v="8"/>
    <s v="047752"/>
    <s v="019320206"/>
    <x v="19"/>
    <n v="800"/>
  </r>
  <r>
    <x v="6"/>
    <x v="1"/>
    <x v="8"/>
    <s v="047752"/>
    <s v="019320206"/>
    <x v="19"/>
    <n v="800"/>
  </r>
  <r>
    <x v="7"/>
    <x v="1"/>
    <x v="8"/>
    <s v="047752"/>
    <s v="019320206"/>
    <x v="19"/>
    <n v="400"/>
  </r>
  <r>
    <x v="7"/>
    <x v="1"/>
    <x v="8"/>
    <s v="047752"/>
    <s v="019320206"/>
    <x v="19"/>
    <n v="400"/>
  </r>
  <r>
    <x v="5"/>
    <x v="5"/>
    <x v="10"/>
    <s v="047758"/>
    <s v="061028125"/>
    <x v="23"/>
    <n v="270"/>
  </r>
  <r>
    <x v="0"/>
    <x v="0"/>
    <x v="8"/>
    <s v="047800"/>
    <s v="010273940"/>
    <x v="12"/>
    <n v="216"/>
  </r>
  <r>
    <x v="0"/>
    <x v="0"/>
    <x v="8"/>
    <s v="047800"/>
    <s v="010273940"/>
    <x v="12"/>
    <n v="120"/>
  </r>
  <r>
    <x v="5"/>
    <x v="0"/>
    <x v="7"/>
    <s v="047801"/>
    <s v="000495608"/>
    <x v="24"/>
    <n v="440"/>
  </r>
  <r>
    <x v="6"/>
    <x v="1"/>
    <x v="8"/>
    <s v="047802"/>
    <s v="032603119"/>
    <x v="25"/>
    <n v="3800"/>
  </r>
  <r>
    <x v="7"/>
    <x v="1"/>
    <x v="8"/>
    <s v="047802"/>
    <s v="032603119"/>
    <x v="25"/>
    <n v="1600"/>
  </r>
  <r>
    <x v="9"/>
    <x v="5"/>
    <x v="11"/>
    <s v="047803"/>
    <s v="006233947"/>
    <x v="26"/>
    <n v="9600"/>
  </r>
  <r>
    <x v="3"/>
    <x v="0"/>
    <x v="11"/>
    <s v="047871"/>
    <s v="051496564"/>
    <x v="7"/>
    <n v="200"/>
  </r>
  <r>
    <x v="6"/>
    <x v="1"/>
    <x v="8"/>
    <s v="047872"/>
    <s v="061259226"/>
    <x v="27"/>
    <n v="6740"/>
  </r>
  <r>
    <x v="4"/>
    <x v="1"/>
    <x v="11"/>
    <s v="047872"/>
    <s v="061259226"/>
    <x v="27"/>
    <n v="1328"/>
  </r>
  <r>
    <x v="5"/>
    <x v="1"/>
    <x v="11"/>
    <s v="047873"/>
    <s v="033254429"/>
    <x v="28"/>
    <n v="945"/>
  </r>
  <r>
    <x v="2"/>
    <x v="2"/>
    <x v="12"/>
    <s v="047889"/>
    <s v="012154080"/>
    <x v="29"/>
    <n v="52"/>
  </r>
  <r>
    <x v="4"/>
    <x v="2"/>
    <x v="8"/>
    <s v="047892"/>
    <s v="046304055"/>
    <x v="18"/>
    <n v="300"/>
  </r>
  <r>
    <x v="4"/>
    <x v="2"/>
    <x v="8"/>
    <s v="047892"/>
    <s v="046304055"/>
    <x v="18"/>
    <n v="450"/>
  </r>
  <r>
    <x v="4"/>
    <x v="3"/>
    <x v="13"/>
    <s v="047893"/>
    <s v="046304055"/>
    <x v="18"/>
    <n v="550"/>
  </r>
  <r>
    <x v="4"/>
    <x v="3"/>
    <x v="8"/>
    <s v="047893"/>
    <s v="046304055"/>
    <x v="18"/>
    <n v="430"/>
  </r>
  <r>
    <x v="6"/>
    <x v="1"/>
    <x v="14"/>
    <s v="047895"/>
    <s v="019320206"/>
    <x v="19"/>
    <n v="900"/>
  </r>
  <r>
    <x v="7"/>
    <x v="1"/>
    <x v="14"/>
    <s v="047895"/>
    <s v="019320206"/>
    <x v="19"/>
    <n v="300"/>
  </r>
  <r>
    <x v="10"/>
    <x v="1"/>
    <x v="14"/>
    <s v="047897"/>
    <s v="019320206"/>
    <x v="19"/>
    <n v="2000"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m/>
    <x v="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Tabela dinâmica2" cacheId="4983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A17:G21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31">
        <item x="29"/>
        <item x="4"/>
        <item x="23"/>
        <item x="19"/>
        <item x="3"/>
        <item x="2"/>
        <item x="12"/>
        <item x="15"/>
        <item x="21"/>
        <item x="5"/>
        <item x="13"/>
        <item x="30"/>
        <item x="14"/>
        <item x="16"/>
        <item x="10"/>
        <item x="26"/>
        <item x="22"/>
        <item x="7"/>
        <item x="25"/>
        <item x="18"/>
        <item x="28"/>
        <item x="6"/>
        <item x="9"/>
        <item x="27"/>
        <item x="17"/>
        <item x="8"/>
        <item x="1"/>
        <item x="11"/>
        <item x="20"/>
        <item x="24"/>
        <item x="0"/>
      </items>
    </pivotField>
    <pivotField dataField="1" showAll="0" defaultSubtotal="0">
      <items count="24">
        <item x="0"/>
        <item x="21"/>
        <item x="12"/>
        <item x="13"/>
        <item x="1"/>
        <item x="23"/>
        <item x="3"/>
        <item x="22"/>
        <item x="20"/>
        <item x="4"/>
        <item x="8"/>
        <item x="11"/>
        <item x="6"/>
        <item x="14"/>
        <item x="2"/>
        <item x="10"/>
        <item x="7"/>
        <item x="16"/>
        <item x="19"/>
        <item x="9"/>
        <item x="15"/>
        <item x="17"/>
        <item x="18"/>
        <item x="5"/>
      </items>
    </pivotField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3">
    <i>
      <x/>
    </i>
    <i i="1">
      <x v="1"/>
    </i>
    <i i="2">
      <x v="2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32">
    <format dxfId="307">
      <pivotArea type="all" dataOnly="0" outline="0" fieldPosition="0"/>
    </format>
    <format dxfId="308">
      <pivotArea outline="0" collapsedLevelsAreSubtotals="1" fieldPosition="0"/>
    </format>
    <format dxfId="309">
      <pivotArea type="origin" dataOnly="0" labelOnly="1" outline="0" fieldPosition="0"/>
    </format>
    <format dxfId="310">
      <pivotArea field="18" type="button" dataOnly="0" labelOnly="1" outline="0" axis="axisCol" fieldPosition="0"/>
    </format>
    <format dxfId="311">
      <pivotArea type="topRight" dataOnly="0" labelOnly="1" outline="0" fieldPosition="0"/>
    </format>
    <format dxfId="312">
      <pivotArea field="-2" type="button" dataOnly="0" labelOnly="1" outline="0" axis="axisRow" fieldPosition="0"/>
    </format>
    <format dxfId="3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4">
      <pivotArea dataOnly="0" labelOnly="1" fieldPosition="0">
        <references count="1">
          <reference field="18" count="0"/>
        </references>
      </pivotArea>
    </format>
    <format dxfId="315">
      <pivotArea dataOnly="0" labelOnly="1" grandCol="1" outline="0" fieldPosition="0"/>
    </format>
    <format dxfId="316">
      <pivotArea type="all" dataOnly="0" outline="0" fieldPosition="0"/>
    </format>
    <format dxfId="317">
      <pivotArea outline="0" collapsedLevelsAreSubtotals="1" fieldPosition="0"/>
    </format>
    <format dxfId="318">
      <pivotArea type="origin" dataOnly="0" labelOnly="1" outline="0" fieldPosition="0"/>
    </format>
    <format dxfId="319">
      <pivotArea field="18" type="button" dataOnly="0" labelOnly="1" outline="0" axis="axisCol" fieldPosition="0"/>
    </format>
    <format dxfId="320">
      <pivotArea type="topRight" dataOnly="0" labelOnly="1" outline="0" fieldPosition="0"/>
    </format>
    <format dxfId="321">
      <pivotArea field="-2" type="button" dataOnly="0" labelOnly="1" outline="0" axis="axisRow" fieldPosition="0"/>
    </format>
    <format dxfId="3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3">
      <pivotArea dataOnly="0" labelOnly="1" fieldPosition="0">
        <references count="1">
          <reference field="18" count="0"/>
        </references>
      </pivotArea>
    </format>
    <format dxfId="324">
      <pivotArea dataOnly="0" labelOnly="1" grandCol="1" outline="0" fieldPosition="0"/>
    </format>
    <format dxfId="325">
      <pivotArea outline="0" collapsedLevelsAreSubtotals="1" fieldPosition="0"/>
    </format>
    <format dxfId="326">
      <pivotArea grandCol="1" outline="0" collapsedLevelsAreSubtotals="1" fieldPosition="0"/>
    </format>
    <format dxfId="327">
      <pivotArea dataOnly="0" labelOnly="1" grandCol="1" outline="0" fieldPosition="0"/>
    </format>
    <format dxfId="328">
      <pivotArea grandCol="1" outline="0" collapsedLevelsAreSubtotals="1" fieldPosition="0"/>
    </format>
    <format dxfId="329">
      <pivotArea outline="0" collapsedLevelsAreSubtotals="1" fieldPosition="0"/>
    </format>
    <format dxfId="330">
      <pivotArea collapsedLevelsAreSubtotals="1" fieldPosition="0">
        <references count="1">
          <reference field="4294967294" count="1">
            <x v="2"/>
          </reference>
        </references>
      </pivotArea>
    </format>
    <format dxfId="331">
      <pivotArea type="all" dataOnly="0" outline="0" fieldPosition="0"/>
    </format>
    <format dxfId="332">
      <pivotArea outline="0" collapsedLevelsAreSubtotals="1" fieldPosition="0"/>
    </format>
    <format dxfId="333">
      <pivotArea type="origin" dataOnly="0" labelOnly="1" outline="0" fieldPosition="0"/>
    </format>
    <format dxfId="334">
      <pivotArea field="18" type="button" dataOnly="0" labelOnly="1" outline="0" axis="axisCol" fieldPosition="0"/>
    </format>
    <format dxfId="335">
      <pivotArea type="topRight" dataOnly="0" labelOnly="1" outline="0" fieldPosition="0"/>
    </format>
    <format dxfId="336">
      <pivotArea field="-2" type="button" dataOnly="0" labelOnly="1" outline="0" axis="axisRow" fieldPosition="0"/>
    </format>
    <format dxfId="3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8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Tabela dinâmica1" cacheId="4983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A5:G10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31">
        <item x="29"/>
        <item x="4"/>
        <item x="23"/>
        <item x="19"/>
        <item x="3"/>
        <item x="2"/>
        <item x="12"/>
        <item x="15"/>
        <item x="21"/>
        <item x="5"/>
        <item x="13"/>
        <item x="30"/>
        <item x="14"/>
        <item x="16"/>
        <item x="10"/>
        <item x="26"/>
        <item x="22"/>
        <item x="7"/>
        <item x="25"/>
        <item x="18"/>
        <item x="28"/>
        <item x="6"/>
        <item x="9"/>
        <item x="27"/>
        <item x="17"/>
        <item x="8"/>
        <item x="1"/>
        <item x="11"/>
        <item x="20"/>
        <item x="24"/>
        <item x="0"/>
      </items>
    </pivotField>
    <pivotField dataField="1" showAll="0" defaultSubtotal="0">
      <items count="24">
        <item x="0"/>
        <item x="21"/>
        <item x="12"/>
        <item x="13"/>
        <item x="1"/>
        <item x="23"/>
        <item x="3"/>
        <item x="22"/>
        <item x="20"/>
        <item x="4"/>
        <item x="8"/>
        <item x="11"/>
        <item x="6"/>
        <item x="14"/>
        <item x="2"/>
        <item x="10"/>
        <item x="7"/>
        <item x="16"/>
        <item x="19"/>
        <item x="9"/>
        <item x="15"/>
        <item x="17"/>
        <item x="18"/>
        <item x="5"/>
      </items>
    </pivotField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34">
    <format dxfId="273">
      <pivotArea type="all" dataOnly="0" outline="0" fieldPosition="0"/>
    </format>
    <format dxfId="274">
      <pivotArea outline="0" collapsedLevelsAreSubtotals="1" fieldPosition="0"/>
    </format>
    <format dxfId="275">
      <pivotArea type="origin" dataOnly="0" labelOnly="1" outline="0" fieldPosition="0"/>
    </format>
    <format dxfId="276">
      <pivotArea field="18" type="button" dataOnly="0" labelOnly="1" outline="0" axis="axisCol" fieldPosition="0"/>
    </format>
    <format dxfId="277">
      <pivotArea type="topRight" dataOnly="0" labelOnly="1" outline="0" fieldPosition="0"/>
    </format>
    <format dxfId="278">
      <pivotArea field="-2" type="button" dataOnly="0" labelOnly="1" outline="0" axis="axisRow" fieldPosition="0"/>
    </format>
    <format dxfId="2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0">
      <pivotArea dataOnly="0" labelOnly="1" fieldPosition="0">
        <references count="1">
          <reference field="18" count="0"/>
        </references>
      </pivotArea>
    </format>
    <format dxfId="281">
      <pivotArea dataOnly="0" labelOnly="1" grandCol="1" outline="0" fieldPosition="0"/>
    </format>
    <format dxfId="282">
      <pivotArea type="all" dataOnly="0" outline="0" fieldPosition="0"/>
    </format>
    <format dxfId="283">
      <pivotArea outline="0" collapsedLevelsAreSubtotals="1" fieldPosition="0"/>
    </format>
    <format dxfId="284">
      <pivotArea type="origin" dataOnly="0" labelOnly="1" outline="0" fieldPosition="0"/>
    </format>
    <format dxfId="285">
      <pivotArea field="18" type="button" dataOnly="0" labelOnly="1" outline="0" axis="axisCol" fieldPosition="0"/>
    </format>
    <format dxfId="286">
      <pivotArea type="topRight" dataOnly="0" labelOnly="1" outline="0" fieldPosition="0"/>
    </format>
    <format dxfId="287">
      <pivotArea field="-2" type="button" dataOnly="0" labelOnly="1" outline="0" axis="axisRow" fieldPosition="0"/>
    </format>
    <format dxfId="2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9">
      <pivotArea dataOnly="0" labelOnly="1" fieldPosition="0">
        <references count="1">
          <reference field="18" count="0"/>
        </references>
      </pivotArea>
    </format>
    <format dxfId="290">
      <pivotArea dataOnly="0" labelOnly="1" grandCol="1" outline="0" fieldPosition="0"/>
    </format>
    <format dxfId="291">
      <pivotArea outline="0" collapsedLevelsAreSubtotals="1" fieldPosition="0"/>
    </format>
    <format dxfId="292">
      <pivotArea grandCol="1" outline="0" collapsedLevelsAreSubtotals="1" fieldPosition="0"/>
    </format>
    <format dxfId="293">
      <pivotArea dataOnly="0" labelOnly="1" grandCol="1" outline="0" fieldPosition="0"/>
    </format>
    <format dxfId="294">
      <pivotArea grandCol="1" outline="0" collapsedLevelsAreSubtotals="1" fieldPosition="0"/>
    </format>
    <format dxfId="295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296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297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298">
      <pivotArea outline="0" collapsedLevelsAreSubtotals="1" fieldPosition="0"/>
    </format>
    <format dxfId="299">
      <pivotArea type="all" dataOnly="0" outline="0" fieldPosition="0"/>
    </format>
    <format dxfId="300">
      <pivotArea outline="0" collapsedLevelsAreSubtotals="1" fieldPosition="0"/>
    </format>
    <format dxfId="301">
      <pivotArea type="origin" dataOnly="0" labelOnly="1" outline="0" fieldPosition="0"/>
    </format>
    <format dxfId="302">
      <pivotArea field="18" type="button" dataOnly="0" labelOnly="1" outline="0" axis="axisCol" fieldPosition="0"/>
    </format>
    <format dxfId="303">
      <pivotArea type="topRight" dataOnly="0" labelOnly="1" outline="0" fieldPosition="0"/>
    </format>
    <format dxfId="304">
      <pivotArea field="-2" type="button" dataOnly="0" labelOnly="1" outline="0" axis="axisRow" fieldPosition="0"/>
    </format>
    <format dxfId="30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06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Tabela dinâmica6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OTOBOY">
  <location ref="D43:E51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x="3"/>
        <item h="1" x="2"/>
        <item h="1" x="1"/>
        <item h="1" x="0"/>
        <item h="1" x="5"/>
        <item h="1" x="11"/>
        <item t="default"/>
      </items>
    </pivotField>
    <pivotField axis="axisRow"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8">
    <i>
      <x v="4"/>
    </i>
    <i>
      <x v="1"/>
    </i>
    <i>
      <x v="2"/>
    </i>
    <i>
      <x v="6"/>
    </i>
    <i>
      <x v="5"/>
    </i>
    <i>
      <x/>
    </i>
    <i>
      <x v="3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71">
      <pivotArea outline="0" collapsedLevelsAreSubtotals="1" fieldPosition="0"/>
    </format>
    <format dxfId="272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Tabela dinâmica5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UNCK">
  <location ref="A43:B48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h="1" x="3"/>
        <item h="1" x="2"/>
        <item h="1" x="1"/>
        <item h="1" x="0"/>
        <item x="5"/>
        <item h="1" x="11"/>
        <item t="default"/>
      </items>
    </pivotField>
    <pivotField axis="axisRow"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3"/>
    </i>
    <i>
      <x v="4"/>
    </i>
    <i>
      <x v="2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69">
      <pivotArea outline="0" collapsedLevelsAreSubtotals="1" fieldPosition="0"/>
    </format>
    <format dxfId="270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Tabela dinâmica4" cacheId="49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Responsável" colHeaderCaption=".">
  <location ref="K6:N8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>
      <items count="31">
        <item x="29"/>
        <item x="4"/>
        <item x="23"/>
        <item x="19"/>
        <item x="3"/>
        <item x="2"/>
        <item x="12"/>
        <item x="15"/>
        <item x="21"/>
        <item x="5"/>
        <item x="13"/>
        <item x="30"/>
        <item x="14"/>
        <item x="16"/>
        <item x="10"/>
        <item x="26"/>
        <item x="22"/>
        <item x="7"/>
        <item x="25"/>
        <item x="18"/>
        <item x="28"/>
        <item x="6"/>
        <item x="9"/>
        <item x="27"/>
        <item x="17"/>
        <item x="8"/>
        <item x="1"/>
        <item x="11"/>
        <item x="20"/>
        <item x="24"/>
        <item x="0"/>
      </items>
    </pivotField>
    <pivotField showAll="0" defaultSubtotal="0">
      <items count="24">
        <item x="0"/>
        <item x="21"/>
        <item x="12"/>
        <item x="13"/>
        <item x="1"/>
        <item x="23"/>
        <item x="3"/>
        <item x="22"/>
        <item x="20"/>
        <item x="4"/>
        <item x="8"/>
        <item x="11"/>
        <item x="6"/>
        <item x="14"/>
        <item x="2"/>
        <item x="10"/>
        <item x="7"/>
        <item x="16"/>
        <item x="19"/>
        <item x="9"/>
        <item x="15"/>
        <item x="17"/>
        <item x="18"/>
        <item x="5"/>
      </items>
    </pivotField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32">
    <format dxfId="237">
      <pivotArea type="all" dataOnly="0" outline="0" fieldPosition="0"/>
    </format>
    <format dxfId="238">
      <pivotArea outline="0" collapsedLevelsAreSubtotals="1" fieldPosition="0"/>
    </format>
    <format dxfId="239">
      <pivotArea type="origin" dataOnly="0" labelOnly="1" outline="0" fieldPosition="0"/>
    </format>
    <format dxfId="240">
      <pivotArea field="18" type="button" dataOnly="0" labelOnly="1" outline="0"/>
    </format>
    <format dxfId="241">
      <pivotArea type="topRight" dataOnly="0" labelOnly="1" outline="0" fieldPosition="0"/>
    </format>
    <format dxfId="242">
      <pivotArea field="-2" type="button" dataOnly="0" labelOnly="1" outline="0" axis="axisCol" fieldPosition="0"/>
    </format>
    <format dxfId="243">
      <pivotArea dataOnly="0" labelOnly="1" grandCol="1" outline="0" fieldPosition="0"/>
    </format>
    <format dxfId="244">
      <pivotArea type="all" dataOnly="0" outline="0" fieldPosition="0"/>
    </format>
    <format dxfId="245">
      <pivotArea outline="0" collapsedLevelsAreSubtotals="1" fieldPosition="0"/>
    </format>
    <format dxfId="246">
      <pivotArea type="origin" dataOnly="0" labelOnly="1" outline="0" fieldPosition="0"/>
    </format>
    <format dxfId="247">
      <pivotArea field="18" type="button" dataOnly="0" labelOnly="1" outline="0"/>
    </format>
    <format dxfId="248">
      <pivotArea type="topRight" dataOnly="0" labelOnly="1" outline="0" fieldPosition="0"/>
    </format>
    <format dxfId="249">
      <pivotArea field="-2" type="button" dataOnly="0" labelOnly="1" outline="0" axis="axisCol" fieldPosition="0"/>
    </format>
    <format dxfId="250">
      <pivotArea dataOnly="0" labelOnly="1" grandCol="1" outline="0" fieldPosition="0"/>
    </format>
    <format dxfId="251">
      <pivotArea outline="0" collapsedLevelsAreSubtotals="1" fieldPosition="0"/>
    </format>
    <format dxfId="252">
      <pivotArea grandCol="1" outline="0" collapsedLevelsAreSubtotals="1" fieldPosition="0"/>
    </format>
    <format dxfId="253">
      <pivotArea dataOnly="0" labelOnly="1" grandCol="1" outline="0" fieldPosition="0"/>
    </format>
    <format dxfId="254">
      <pivotArea grandCol="1" outline="0" collapsedLevelsAreSubtotals="1" fieldPosition="0"/>
    </format>
    <format dxfId="255">
      <pivotArea collapsedLevelsAreSubtotals="1" fieldPosition="0">
        <references count="1">
          <reference field="4294967294" count="1">
            <x v="1"/>
          </reference>
        </references>
      </pivotArea>
    </format>
    <format dxfId="2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7">
      <pivotArea type="all" dataOnly="0" outline="0" fieldPosition="0"/>
    </format>
    <format dxfId="258">
      <pivotArea outline="0" collapsedLevelsAreSubtotals="1" fieldPosition="0"/>
    </format>
    <format dxfId="259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1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62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63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64">
      <pivotArea type="all" dataOnly="0" outline="0" fieldPosition="0"/>
    </format>
    <format dxfId="265">
      <pivotArea outline="0" collapsedLevelsAreSubtotals="1" fieldPosition="0"/>
    </format>
    <format dxfId="266">
      <pivotArea field="1" type="button" dataOnly="0" labelOnly="1" outline="0" axis="axisRow" fieldPosition="0"/>
    </format>
    <format dxfId="267">
      <pivotArea dataOnly="0" labelOnly="1" fieldPosition="0">
        <references count="1">
          <reference field="1" count="0"/>
        </references>
      </pivotArea>
    </format>
    <format dxfId="2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Tabela dinâmica10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RANSPORTADORA">
  <location ref="G58:H63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h="1" x="3"/>
        <item x="2"/>
        <item h="1" x="1"/>
        <item h="1" x="0"/>
        <item h="1" x="5"/>
        <item h="1" x="11"/>
        <item t="default"/>
      </items>
    </pivotField>
    <pivotField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axis="axisRow" showAll="0" sortType="descending">
      <items count="32">
        <item x="19"/>
        <item x="14"/>
        <item x="4"/>
        <item x="16"/>
        <item x="6"/>
        <item x="0"/>
        <item x="1"/>
        <item x="2"/>
        <item x="3"/>
        <item x="18"/>
        <item x="23"/>
        <item x="27"/>
        <item x="5"/>
        <item x="13"/>
        <item x="15"/>
        <item x="26"/>
        <item x="7"/>
        <item x="17"/>
        <item x="22"/>
        <item x="24"/>
        <item x="28"/>
        <item x="20"/>
        <item x="9"/>
        <item x="12"/>
        <item x="8"/>
        <item x="21"/>
        <item x="10"/>
        <item x="29"/>
        <item x="11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5">
    <i>
      <x v="3"/>
    </i>
    <i>
      <x v="8"/>
    </i>
    <i>
      <x v="22"/>
    </i>
    <i>
      <x v="27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35">
      <pivotArea outline="0" collapsedLevelsAreSubtotals="1" fieldPosition="0"/>
    </format>
    <format dxfId="236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Tabela dinâmica9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OTOBOY">
  <location ref="D58:E67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x="3"/>
        <item h="1" x="2"/>
        <item h="1" x="1"/>
        <item h="1" x="0"/>
        <item h="1" x="5"/>
        <item h="1" x="11"/>
        <item t="default"/>
      </items>
    </pivotField>
    <pivotField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axis="axisRow" showAll="0" sortType="descending">
      <items count="32">
        <item x="19"/>
        <item x="14"/>
        <item x="4"/>
        <item x="16"/>
        <item x="6"/>
        <item x="0"/>
        <item x="1"/>
        <item x="2"/>
        <item x="3"/>
        <item x="18"/>
        <item x="23"/>
        <item x="27"/>
        <item x="5"/>
        <item x="13"/>
        <item x="15"/>
        <item x="26"/>
        <item x="7"/>
        <item x="17"/>
        <item x="22"/>
        <item x="24"/>
        <item x="28"/>
        <item x="20"/>
        <item x="9"/>
        <item x="12"/>
        <item x="8"/>
        <item x="21"/>
        <item x="10"/>
        <item x="29"/>
        <item x="11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9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33">
      <pivotArea outline="0" collapsedLevelsAreSubtotals="1" fieldPosition="0"/>
    </format>
    <format dxfId="234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Tabela dinâmica3" cacheId="49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TERCEIRO" colHeaderCaption=".">
  <location ref="A25:D33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</pivotField>
    <pivotField showAll="0" defaultSubtotal="0"/>
    <pivotField dataField="1" showAll="0" defaultSubtotal="0"/>
    <pivotField showAll="0" defaultSubtotal="0">
      <items count="31">
        <item x="29"/>
        <item x="4"/>
        <item x="23"/>
        <item x="19"/>
        <item x="3"/>
        <item x="2"/>
        <item x="12"/>
        <item x="15"/>
        <item x="21"/>
        <item x="5"/>
        <item x="13"/>
        <item x="30"/>
        <item x="14"/>
        <item x="16"/>
        <item x="10"/>
        <item x="26"/>
        <item x="22"/>
        <item x="7"/>
        <item x="25"/>
        <item x="18"/>
        <item x="28"/>
        <item x="6"/>
        <item x="9"/>
        <item x="27"/>
        <item x="17"/>
        <item x="8"/>
        <item x="1"/>
        <item x="11"/>
        <item x="20"/>
        <item x="24"/>
        <item x="0"/>
      </items>
    </pivotField>
    <pivotField dataField="1" showAll="0" defaultSubtotal="0">
      <items count="24">
        <item x="0"/>
        <item x="21"/>
        <item x="12"/>
        <item x="13"/>
        <item x="1"/>
        <item x="23"/>
        <item x="3"/>
        <item x="22"/>
        <item x="20"/>
        <item x="4"/>
        <item x="8"/>
        <item x="11"/>
        <item x="6"/>
        <item x="14"/>
        <item x="2"/>
        <item x="10"/>
        <item x="7"/>
        <item x="16"/>
        <item x="19"/>
        <item x="9"/>
        <item x="15"/>
        <item x="17"/>
        <item x="18"/>
        <item x="5"/>
      </items>
    </pivotField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 Total" fld="5" baseField="18" baseItem="0"/>
    <dataField name="Qtd Total" fld="18" subtotal="count" baseField="0" baseItem="0"/>
    <dataField name="Total KM" fld="3" baseField="0" baseItem="0" numFmtId="1"/>
  </dataFields>
  <formats count="31">
    <format dxfId="202">
      <pivotArea type="all" dataOnly="0" outline="0" fieldPosition="0"/>
    </format>
    <format dxfId="203">
      <pivotArea outline="0" collapsedLevelsAreSubtotals="1" fieldPosition="0"/>
    </format>
    <format dxfId="204">
      <pivotArea type="origin" dataOnly="0" labelOnly="1" outline="0" fieldPosition="0"/>
    </format>
    <format dxfId="205">
      <pivotArea field="18" type="button" dataOnly="0" labelOnly="1" outline="0"/>
    </format>
    <format dxfId="206">
      <pivotArea type="topRight" dataOnly="0" labelOnly="1" outline="0" fieldPosition="0"/>
    </format>
    <format dxfId="207">
      <pivotArea field="-2" type="button" dataOnly="0" labelOnly="1" outline="0" axis="axisCol" fieldPosition="0"/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9">
      <pivotArea dataOnly="0" labelOnly="1" grandCol="1" outline="0" fieldPosition="0"/>
    </format>
    <format dxfId="210">
      <pivotArea type="all" dataOnly="0" outline="0" fieldPosition="0"/>
    </format>
    <format dxfId="211">
      <pivotArea outline="0" collapsedLevelsAreSubtotals="1" fieldPosition="0"/>
    </format>
    <format dxfId="212">
      <pivotArea type="origin" dataOnly="0" labelOnly="1" outline="0" fieldPosition="0"/>
    </format>
    <format dxfId="213">
      <pivotArea field="18" type="button" dataOnly="0" labelOnly="1" outline="0"/>
    </format>
    <format dxfId="214">
      <pivotArea type="topRight" dataOnly="0" labelOnly="1" outline="0" fieldPosition="0"/>
    </format>
    <format dxfId="215">
      <pivotArea field="-2" type="button" dataOnly="0" labelOnly="1" outline="0" axis="axisCol" fieldPosition="0"/>
    </format>
    <format dxfId="216">
      <pivotArea dataOnly="0" labelOnly="1" grandCol="1" outline="0" fieldPosition="0"/>
    </format>
    <format dxfId="217">
      <pivotArea outline="0" collapsedLevelsAreSubtotals="1" fieldPosition="0"/>
    </format>
    <format dxfId="218">
      <pivotArea grandCol="1" outline="0" collapsedLevelsAreSubtotals="1" fieldPosition="0"/>
    </format>
    <format dxfId="219">
      <pivotArea dataOnly="0" labelOnly="1" grandCol="1" outline="0" fieldPosition="0"/>
    </format>
    <format dxfId="220">
      <pivotArea grandCol="1" outline="0" collapsedLevelsAreSubtotals="1" fieldPosition="0"/>
    </format>
    <format dxfId="221">
      <pivotArea collapsedLevelsAreSubtotals="1" fieldPosition="0">
        <references count="1">
          <reference field="4294967294" count="1">
            <x v="1"/>
          </reference>
        </references>
      </pivotArea>
    </format>
    <format dxfId="22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3">
      <pivotArea type="all" dataOnly="0" outline="0" fieldPosition="0"/>
    </format>
    <format dxfId="224">
      <pivotArea outline="0" collapsedLevelsAreSubtotals="1" fieldPosition="0"/>
    </format>
    <format dxfId="225">
      <pivotArea field="1" type="button" dataOnly="0" labelOnly="1" outline="0" axis="axisRow" fieldPosition="0"/>
    </format>
    <format dxfId="22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8">
      <pivotArea type="all" dataOnly="0" outline="0" fieldPosition="0"/>
    </format>
    <format dxfId="229">
      <pivotArea outline="0" collapsedLevelsAreSubtotals="1" fieldPosition="0"/>
    </format>
    <format dxfId="230">
      <pivotArea field="1" type="button" dataOnly="0" labelOnly="1" outline="0" axis="axisRow" fieldPosition="0"/>
    </format>
    <format dxfId="23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Tabela dinâmica7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RANSPORTADORA">
  <location ref="G43:H51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h="1" x="3"/>
        <item x="2"/>
        <item h="1" x="1"/>
        <item h="1" x="0"/>
        <item h="1" x="5"/>
        <item h="1" x="11"/>
        <item t="default"/>
      </items>
    </pivotField>
    <pivotField axis="axisRow"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8">
    <i>
      <x v="4"/>
    </i>
    <i>
      <x/>
    </i>
    <i>
      <x v="2"/>
    </i>
    <i>
      <x v="1"/>
    </i>
    <i>
      <x v="6"/>
    </i>
    <i>
      <x v="3"/>
    </i>
    <i>
      <x v="5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00">
      <pivotArea outline="0" collapsedLevelsAreSubtotals="1" fieldPosition="0"/>
    </format>
    <format dxfId="201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0" totalsRowShown="0" headerRowDxfId="186" dataDxfId="185">
  <autoFilter ref="A1:S90" xr:uid="{721DFAF5-07E2-4C34-9DA3-6DAA1EB10B39}"/>
  <sortState xmlns:xlrd2="http://schemas.microsoft.com/office/spreadsheetml/2017/richdata2" ref="A2:S90">
    <sortCondition ref="H1:H90"/>
  </sortState>
  <tableColumns count="19">
    <tableColumn id="1" xr3:uid="{74088FA4-9F2D-4E29-80DA-4FFA894E77F4}" name="STATUS" dataDxfId="184"/>
    <tableColumn id="2" xr3:uid="{8BF83C7C-9ED1-47DD-BC5F-63DA1560216C}" name="FRETE" dataDxfId="183"/>
    <tableColumn id="3" xr3:uid="{B758A2AA-452E-4F91-A2A6-E8CD9100E3DE}" name="HR" dataDxfId="182">
      <calculatedColumnFormula>IFERROR((D2*1.5)/1440, "?")</calculatedColumnFormula>
    </tableColumn>
    <tableColumn id="4" xr3:uid="{65BC45AA-44C5-4933-ADBD-7603EB922BE5}" name="KM" dataDxfId="181"/>
    <tableColumn id="5" xr3:uid="{276116FF-109D-41D4-97B8-33BDEC97F408}" name="R$ PROP" dataDxfId="180">
      <calculatedColumnFormula>IFERROR((D2*6),"?")</calculatedColumnFormula>
    </tableColumn>
    <tableColumn id="6" xr3:uid="{70534257-D783-4146-96E1-2E685CBB89A4}" name="R$ TERC" dataDxfId="179"/>
    <tableColumn id="7" xr3:uid="{3D60D21C-F567-43A3-8E40-BE7F689ECF34}" name="CHASSI" dataDxfId="178"/>
    <tableColumn id="8" xr3:uid="{52559DB2-54FE-4292-B44C-9CD4CF656213}" name="PREV" dataDxfId="177"/>
    <tableColumn id="9" xr3:uid="{83C52D74-44DB-466D-8572-853956B9E720}" name="REAL" dataDxfId="176"/>
    <tableColumn id="10" xr3:uid="{F096729E-B5E6-4D3D-B03C-234DF10FC38E}" name="CLIENTE/NOTA" dataDxfId="175"/>
    <tableColumn id="11" xr3:uid="{9AD47A28-9E98-4261-BB4E-53A18FCF11A6}" name="SOLICITANTE" dataDxfId="174"/>
    <tableColumn id="12" xr3:uid="{797C4B0D-8EC2-4476-9B1D-9680399D22D2}" name="ESTÁ:" dataDxfId="173"/>
    <tableColumn id="13" xr3:uid="{78010355-1A74-41F4-AEBD-3035D2289546}" name="VAI:" dataDxfId="172"/>
    <tableColumn id="14" xr3:uid="{77527C27-6C98-47E9-848B-1D141B3F645A}" name="TIPO" dataDxfId="171"/>
    <tableColumn id="15" xr3:uid="{7B83F651-80C0-40BF-A436-446D32DB61AE}" name="ESTÁ EM:" dataDxfId="170"/>
    <tableColumn id="16" xr3:uid="{26BED5E2-C25C-4647-855D-C4EE6753E61E}" name="VAI PARA:" dataDxfId="169"/>
    <tableColumn id="17" xr3:uid="{22FC017A-B677-426F-90FC-92BAB89D9B4A}" name="OBS" dataDxfId="168"/>
    <tableColumn id="18" xr3:uid="{5AC9D283-0F34-4EF4-A53A-85F8F57E85F2}" name="FILIAL CUSTOS" dataDxfId="167"/>
    <tableColumn id="19" xr3:uid="{DC4F9CD0-326F-411D-8AC9-ED6CAB7FB1E9}" name="EQUIP" dataDxfId="16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6" totalsRowShown="0" headerRowDxfId="160" dataDxfId="159">
  <autoFilter ref="A1:L106" xr:uid="{CE58ED65-99DD-4790-A9ED-259A68223EBB}">
    <filterColumn colId="10">
      <filters>
        <filter val="CTE COM TOMADOR ERRADO"/>
      </filters>
    </filterColumn>
  </autoFilter>
  <sortState xmlns:xlrd2="http://schemas.microsoft.com/office/spreadsheetml/2017/richdata2" ref="A2:L89">
    <sortCondition ref="J1:J89"/>
  </sortState>
  <tableColumns count="12">
    <tableColumn id="1" xr3:uid="{54382593-1F81-433D-9F93-B76C818187F0}" name="TIPO" dataDxfId="158"/>
    <tableColumn id="2" xr3:uid="{4398062D-7437-47E0-8D47-2FB2DD82042D}" name="FILIAL" dataDxfId="157"/>
    <tableColumn id="3" xr3:uid="{5B021649-4C1E-448A-856D-B68EBD29FE35}" name="DATA" dataDxfId="156"/>
    <tableColumn id="4" xr3:uid="{20475BEE-899B-4456-A60C-6E5E5830D60A}" name="PDDO" dataDxfId="155"/>
    <tableColumn id="5" xr3:uid="{52167736-38DB-447F-ABA5-F7F3030C6685}" name="CÓD" dataDxfId="154">
      <calculatedColumnFormula>_xlfn.XLOOKUP(F2,UTIL!Q:Q,UTIL!N:N,"-")</calculatedColumnFormula>
    </tableColumn>
    <tableColumn id="6" xr3:uid="{EC59F397-0DDF-40D5-9D4F-3232B9F3E3AA}" name="FORNECEDOR" dataDxfId="153"/>
    <tableColumn id="7" xr3:uid="{B62521F7-8D78-4799-9138-F4577472D985}" name="VALOR" dataDxfId="152"/>
    <tableColumn id="8" xr3:uid="{0C453D36-D8CB-40C7-924E-11F2DFA712D7}" name="STATUS PC" dataDxfId="151"/>
    <tableColumn id="9" xr3:uid="{48F02895-65FB-49A4-90AC-03012C204F59}" name="Nº NOTA" dataDxfId="150"/>
    <tableColumn id="10" xr3:uid="{09FC5BAE-1C5A-4726-9E49-5D8CA8695440}" name="LANÇADA" dataDxfId="149"/>
    <tableColumn id="11" xr3:uid="{B1E9C8B8-2111-4A21-9D28-51C2A1C336F9}" name="OBSERVAÇÕES" dataDxfId="148"/>
    <tableColumn id="12" xr3:uid="{B0E66A71-C06E-4E69-B75F-5C2A26766683}" name="SALVAR COMO" dataDxfId="147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3" totalsRowShown="0" headerRowDxfId="144" dataDxfId="143">
  <autoFilter ref="A1:O3" xr:uid="{96ED262C-7768-4BDA-8D29-F168B9CAB568}"/>
  <tableColumns count="15">
    <tableColumn id="1" xr3:uid="{B69EFEFF-F887-4E78-AED9-36BFD47C2163}" name="STATUS" dataDxfId="142"/>
    <tableColumn id="2" xr3:uid="{511D0392-1B92-4D5F-98DD-1C91F6205B11}" name="SOLICITANTE" dataDxfId="141"/>
    <tableColumn id="3" xr3:uid="{B8F596C2-530A-4F4E-B3EA-DA7EFDD27017}" name="DATA DA COLETA" dataDxfId="140"/>
    <tableColumn id="4" xr3:uid="{335FD71F-F30D-4127-A0A4-D426AF2905F5}" name="ENTREGAR ATÉ" dataDxfId="139"/>
    <tableColumn id="5" xr3:uid="{D7065B1F-B165-4C67-A25B-3F3D59C82514}" name="MOTOBOY OU DEDICADO?" dataDxfId="138"/>
    <tableColumn id="6" xr3:uid="{9B4C8DC0-A002-44B4-A11D-9A85D683BD3B}" name="ESCOLHA O MOTOBOY" dataDxfId="137"/>
    <tableColumn id="7" xr3:uid="{9EB62DF8-D35F-4A19-AB06-D3EE65940E69}" name="VALOR DO SERVIÇO" dataDxfId="136"/>
    <tableColumn id="8" xr3:uid="{C3036426-E777-46AB-84E5-08F83C7C9F53}" name="QUEM IRÁ PAGAR?" dataDxfId="135"/>
    <tableColumn id="9" xr3:uid="{0390CDD6-5242-4A5E-9D53-EED122D1E773}" name="DESCRIÇÃO" dataDxfId="134"/>
    <tableColumn id="10" xr3:uid="{FBE8999B-D804-4BFB-A0E7-72089F3212C5}" name="PC PARA LOJA" dataDxfId="133"/>
    <tableColumn id="11" xr3:uid="{16B4FCA8-5A17-4B38-9C2F-3C425FA1D0A3}" name="ENVIAR PC PARA" dataDxfId="132"/>
    <tableColumn id="12" xr3:uid="{B5E3C04A-C416-406E-A41C-9B7D05AF6671}" name="DIMENSÕES" dataDxfId="131"/>
    <tableColumn id="13" xr3:uid="{53E9EDB7-BFDB-4482-B5CF-080269012427}" name="LOC COLETA" dataDxfId="130"/>
    <tableColumn id="14" xr3:uid="{04D10BCA-DA76-463F-8C98-1877641F1A10}" name="LOC ENTREGA" dataDxfId="129"/>
    <tableColumn id="15" xr3:uid="{71FE7848-F2AE-4B15-AC80-5B18D6B94E26}" name="SUGESTÃO TRANSP" dataDxfId="12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74" dataDxfId="73" headerRowBorderDxfId="71" tableBorderDxfId="72" totalsRowBorderDxfId="70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69"/>
    <tableColumn id="2" xr3:uid="{1D422C75-258D-45A9-B19A-695228AE7C4B}" name="TRATOR" dataDxfId="68">
      <calculatedColumnFormula>AVERAGE(C5:C6)</calculatedColumnFormula>
    </tableColumn>
    <tableColumn id="3" xr3:uid="{6C18BE36-5939-4F1F-91A2-B91B9D684151}" name="PLANTADEIRA" dataDxfId="67">
      <calculatedColumnFormula>AVERAGE(D5:D6)</calculatedColumnFormula>
    </tableColumn>
    <tableColumn id="4" xr3:uid="{35E991D9-F979-40C7-B9A1-DA488AED5F71}" name="PULVERIZADOR" dataDxfId="66">
      <calculatedColumnFormula>AVERAGE(E5:E6)</calculatedColumnFormula>
    </tableColumn>
    <tableColumn id="5" xr3:uid="{DF98DB61-7AE5-4D1C-A1A1-845079D32C13}" name="PLATAFORMA" dataDxfId="65">
      <calculatedColumnFormula>AVERAGE(F5:F6)</calculatedColumnFormula>
    </tableColumn>
    <tableColumn id="6" xr3:uid="{604AF965-DBA7-4426-A32A-E68650942657}" name="COLHEITADEIRA" dataDxfId="64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63" headerRowBorderDxfId="61" tableBorderDxfId="62" totalsRowBorderDxfId="60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59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58" headerRowBorderDxfId="56" tableBorderDxfId="57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55"/>
    <tableColumn id="2" xr3:uid="{D8593647-4DFE-4968-9C2F-EFE63CB54537}" name="VALOR" dataDxfId="54">
      <calculatedColumnFormula>SUMIF('FRETE MÁQUINAS'!$B:$E,CUSTOS!V3,'FRETE MÁQUINAS'!$E:$E)</calculatedColumnFormula>
    </tableColumn>
    <tableColumn id="3" xr3:uid="{91ADD599-670C-404F-A4D8-3F31415D6B8D}" name="QTD VIAGEM" dataDxfId="53">
      <calculatedColumnFormula>COUNTIF('FRETE MÁQUINAS'!B:B,CUSTOS!V3)</calculatedColumnFormula>
    </tableColumn>
    <tableColumn id="4" xr3:uid="{D5D9BD92-CE56-475E-8193-B53172AD0319}" name="QTD KM" dataDxfId="52">
      <calculatedColumnFormula>SUMIF('FRETE MÁQUINAS'!$B:$E,CUSTOS!V3,'FRETE MÁQUINAS'!$D:$D)</calculatedColumnFormula>
    </tableColumn>
    <tableColumn id="5" xr3:uid="{145E1CDE-4EF3-4DCE-9CD0-B23509827A48}" name="VALOR KM" dataDxfId="51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50" headerRowBorderDxfId="48" tableBorderDxfId="49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47"/>
    <tableColumn id="2" xr3:uid="{FEA941CD-89D6-40EF-BF54-96BB3005BED4}" name="VALOR" dataDxfId="46"/>
    <tableColumn id="3" xr3:uid="{CC1D87A7-D317-44BF-968E-003D95A1C253}" name="QTD" dataDxfId="45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44" headerRowBorderDxfId="42" tableBorderDxfId="43">
  <autoFilter ref="AF2:AG10" xr:uid="{2F81A9AF-2691-4D7C-989E-9D70DE1745EC}"/>
  <tableColumns count="2">
    <tableColumn id="1" xr3:uid="{672E551B-8B12-4A45-9216-9D5268953E4A}" name="MOTOBOY - PC" dataDxfId="41"/>
    <tableColumn id="2" xr3:uid="{B3D31F1E-9A17-4AB8-8519-BE9C90A00020}" name="VALOR" dataDxfId="40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39" headerRowBorderDxfId="37" tableBorderDxfId="38">
  <autoFilter ref="AI2:AJ10" xr:uid="{B2BFE461-3D89-4386-8512-F0738F242B64}"/>
  <tableColumns count="2">
    <tableColumn id="1" xr3:uid="{89961DF0-DFDC-4824-B08E-B88F3A005251}" name="TRANSPORTADORAS - PC" dataDxfId="36"/>
    <tableColumn id="2" xr3:uid="{0B94A03E-3E2C-4032-A12D-AF6B500F562C}" name="VALOR" dataDxfId="35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34" headerRowBorderDxfId="32" tableBorderDxfId="33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31"/>
    <tableColumn id="2" xr3:uid="{4F899959-084C-433A-8F3F-E688AFE69EE7}" name="VALOR" dataDxfId="30"/>
    <tableColumn id="3" xr3:uid="{94F6C714-B969-400E-B8CB-4F1C74215788}" name="QTD VIAGEM" dataDxfId="29"/>
    <tableColumn id="4" xr3:uid="{0CE57C9C-CAD3-4232-A5EE-9013EC443394}" name="QTD KM" dataDxfId="28"/>
    <tableColumn id="5" xr3:uid="{E15D1BDD-C8CD-409D-BD6A-CD1725A817D5}" name="VALOR KM" dataDxfId="27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26" headerRowBorderDxfId="24" tableBorderDxfId="25" totalsRowBorderDxfId="23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22">
      <calculatedColumnFormula>IF(BJ3=0,"",BJ3)</calculatedColumnFormula>
    </tableColumn>
    <tableColumn id="2" xr3:uid="{1FAB9EC6-ADB0-4921-8FAC-4B4E945CCFC9}" name="VALOR" dataDxfId="21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20" headerRowBorderDxfId="18" tableBorderDxfId="19" totalsRowBorderDxfId="17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16">
      <calculatedColumnFormula>IF(BM3=0,"",BM3)</calculatedColumnFormula>
    </tableColumn>
    <tableColumn id="2" xr3:uid="{5BAE02B0-59F6-4DC0-BBFF-7CB2760B69FD}" name="VALOR" dataDxfId="15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13" tableBorderDxfId="14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12"/>
    <tableColumn id="2" xr3:uid="{EE058FBC-81EB-4965-950C-83600B6FFFB1}" name="VALOR" dataDxfId="11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9" tableBorderDxfId="10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8"/>
    <tableColumn id="2" xr3:uid="{8A5008F5-B063-4C97-B0D3-5AD9CBC10D85}" name="VALOR" dataDxfId="7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6" headerRowBorderDxfId="4" tableBorderDxfId="5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3"/>
    <tableColumn id="2" xr3:uid="{9B9621E5-1F5E-408D-A40C-3455CA7E8E2C}" name="QTD KM" dataDxfId="2">
      <calculatedColumnFormula>Y3</calculatedColumnFormula>
    </tableColumn>
    <tableColumn id="3" xr3:uid="{34B29A8C-CA08-4562-912A-F3427272DA37}" name="QTD D/DIAS" dataDxfId="1">
      <calculatedColumnFormula>AX7</calculatedColumnFormula>
    </tableColumn>
    <tableColumn id="4" xr3:uid="{214820EB-DA68-448C-9D85-AE2A661620EB}" name="APROVEITAMENTO" dataDxfId="0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table" Target="../tables/table1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z97gB1Y9xEQEsjNf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0</v>
      </c>
      <c r="B1" s="19" t="s">
        <v>1</v>
      </c>
      <c r="C1" s="19" t="s">
        <v>2</v>
      </c>
    </row>
    <row r="2" spans="1:5">
      <c r="A2" s="31" t="s">
        <v>3</v>
      </c>
      <c r="B2" s="31" t="s">
        <v>4</v>
      </c>
      <c r="C2" s="31" t="s">
        <v>5</v>
      </c>
    </row>
    <row r="3" spans="1:5" ht="18">
      <c r="A3" s="31" t="s">
        <v>6</v>
      </c>
      <c r="B3" s="32" t="s">
        <v>7</v>
      </c>
      <c r="C3" s="32" t="s">
        <v>8</v>
      </c>
      <c r="E3" s="63" t="s">
        <v>9</v>
      </c>
    </row>
    <row r="4" spans="1:5">
      <c r="A4" s="31" t="s">
        <v>10</v>
      </c>
      <c r="B4" s="32">
        <v>2010</v>
      </c>
      <c r="C4" s="32">
        <v>2022</v>
      </c>
    </row>
    <row r="5" spans="1:5">
      <c r="A5" s="31" t="s">
        <v>11</v>
      </c>
      <c r="B5" s="32" t="s">
        <v>12</v>
      </c>
      <c r="C5" s="32" t="s">
        <v>12</v>
      </c>
    </row>
    <row r="6" spans="1:5">
      <c r="A6" s="31" t="s">
        <v>13</v>
      </c>
      <c r="B6" s="32" t="s">
        <v>14</v>
      </c>
      <c r="C6" s="32" t="s">
        <v>14</v>
      </c>
    </row>
    <row r="7" spans="1:5">
      <c r="A7" s="31" t="s">
        <v>15</v>
      </c>
      <c r="B7" s="32" t="s">
        <v>16</v>
      </c>
      <c r="C7" s="33" t="s">
        <v>17</v>
      </c>
    </row>
    <row r="8" spans="1:5">
      <c r="A8" s="31" t="s">
        <v>18</v>
      </c>
      <c r="B8" s="32">
        <v>320</v>
      </c>
      <c r="C8" s="32">
        <v>410</v>
      </c>
    </row>
    <row r="9" spans="1:5">
      <c r="A9" s="31" t="s">
        <v>19</v>
      </c>
      <c r="B9" s="32">
        <v>45</v>
      </c>
      <c r="C9" s="32">
        <v>45</v>
      </c>
    </row>
    <row r="10" spans="1:5">
      <c r="A10" s="31" t="s">
        <v>20</v>
      </c>
      <c r="B10" s="32">
        <v>23</v>
      </c>
      <c r="C10" s="32">
        <v>29</v>
      </c>
    </row>
    <row r="11" spans="1:5">
      <c r="A11" s="31" t="s">
        <v>21</v>
      </c>
      <c r="B11" s="32">
        <v>128</v>
      </c>
      <c r="C11" s="32">
        <v>140</v>
      </c>
    </row>
    <row r="12" spans="1:5">
      <c r="A12" s="31" t="s">
        <v>22</v>
      </c>
      <c r="B12" s="32">
        <v>495</v>
      </c>
      <c r="C12" s="32">
        <v>495</v>
      </c>
    </row>
    <row r="13" spans="1:5">
      <c r="A13" s="31" t="s">
        <v>23</v>
      </c>
      <c r="B13" s="32">
        <v>32</v>
      </c>
      <c r="C13" s="32">
        <v>32</v>
      </c>
    </row>
    <row r="14" spans="1:5">
      <c r="A14" s="31" t="s">
        <v>24</v>
      </c>
      <c r="B14" s="32">
        <v>60</v>
      </c>
      <c r="C14" s="32">
        <v>60</v>
      </c>
    </row>
    <row r="15" spans="1:5">
      <c r="A15" s="31" t="s">
        <v>25</v>
      </c>
      <c r="B15" s="32" t="s">
        <v>26</v>
      </c>
      <c r="C15" s="32" t="s">
        <v>27</v>
      </c>
    </row>
    <row r="16" spans="1:5">
      <c r="A16" s="31" t="s">
        <v>28</v>
      </c>
      <c r="B16" s="34">
        <v>252400</v>
      </c>
      <c r="C16" s="34">
        <v>895000</v>
      </c>
    </row>
    <row r="17" spans="1:3">
      <c r="A17" s="31" t="s">
        <v>29</v>
      </c>
      <c r="B17" s="34">
        <v>67300</v>
      </c>
      <c r="C17" s="34">
        <v>120000</v>
      </c>
    </row>
    <row r="18" spans="1:3">
      <c r="A18" s="31" t="s">
        <v>30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4</v>
      </c>
      <c r="C20" s="37" t="s">
        <v>5</v>
      </c>
    </row>
    <row r="21" spans="1:3">
      <c r="A21" s="21"/>
      <c r="B21" s="38" t="s">
        <v>31</v>
      </c>
      <c r="C21" s="38" t="s">
        <v>32</v>
      </c>
    </row>
    <row r="22" spans="1:3">
      <c r="A22" s="21"/>
      <c r="B22" s="39" t="s">
        <v>33</v>
      </c>
      <c r="C22" s="38" t="s">
        <v>33</v>
      </c>
    </row>
    <row r="23" spans="1:3">
      <c r="A23" s="21"/>
      <c r="B23" s="3"/>
      <c r="C23" s="39"/>
    </row>
    <row r="24" spans="1:3">
      <c r="A24" s="21"/>
      <c r="B24" s="32"/>
      <c r="C24" s="34" t="s">
        <v>34</v>
      </c>
    </row>
    <row r="25" spans="1:3">
      <c r="A25" s="21"/>
      <c r="B25" s="32"/>
      <c r="C25" s="34" t="s">
        <v>35</v>
      </c>
    </row>
    <row r="26" spans="1:3">
      <c r="A26" s="21"/>
      <c r="B26" s="32"/>
      <c r="C26" s="32" t="s">
        <v>33</v>
      </c>
    </row>
    <row r="27" spans="1:3">
      <c r="A27" s="21"/>
      <c r="B27" s="32"/>
      <c r="C27" s="32"/>
    </row>
    <row r="28" spans="1:3">
      <c r="A28" s="262" t="s">
        <v>36</v>
      </c>
      <c r="B28" s="263"/>
      <c r="C28" s="264"/>
    </row>
    <row r="29" spans="1:3">
      <c r="A29" s="262" t="s">
        <v>37</v>
      </c>
      <c r="B29" s="263"/>
      <c r="C29" s="264"/>
    </row>
    <row r="30" spans="1:3">
      <c r="A30" s="262" t="s">
        <v>38</v>
      </c>
      <c r="B30" s="263"/>
      <c r="C30" s="264"/>
    </row>
    <row r="31" spans="1:3">
      <c r="A31" s="262" t="s">
        <v>39</v>
      </c>
      <c r="B31" s="263"/>
      <c r="C31" s="264"/>
    </row>
    <row r="32" spans="1:3">
      <c r="A32" s="262" t="s">
        <v>40</v>
      </c>
      <c r="B32" s="263"/>
      <c r="C32" s="264"/>
    </row>
    <row r="33" spans="1:3">
      <c r="A33" s="22"/>
      <c r="B33" s="23"/>
      <c r="C33" s="24"/>
    </row>
    <row r="34" spans="1:3">
      <c r="A34" s="40" t="s">
        <v>41</v>
      </c>
      <c r="B34" s="40" t="s">
        <v>42</v>
      </c>
      <c r="C34" s="40" t="s">
        <v>43</v>
      </c>
    </row>
    <row r="35" spans="1:3">
      <c r="A35" s="41" t="s">
        <v>44</v>
      </c>
      <c r="B35" s="41">
        <v>11307</v>
      </c>
      <c r="C35" s="41">
        <v>11307</v>
      </c>
    </row>
    <row r="36" spans="1:3">
      <c r="A36" s="41" t="s">
        <v>45</v>
      </c>
      <c r="B36" s="25" t="s">
        <v>46</v>
      </c>
      <c r="C36" s="41" t="s">
        <v>47</v>
      </c>
    </row>
    <row r="37" spans="1:3">
      <c r="A37" s="26" t="s">
        <v>48</v>
      </c>
      <c r="B37" s="25" t="s">
        <v>46</v>
      </c>
      <c r="C37" s="41" t="s">
        <v>49</v>
      </c>
    </row>
    <row r="38" spans="1:3">
      <c r="A38" s="26" t="s">
        <v>50</v>
      </c>
      <c r="B38" s="27" t="s">
        <v>51</v>
      </c>
      <c r="C38" s="28" t="s">
        <v>52</v>
      </c>
    </row>
    <row r="39" spans="1:3">
      <c r="A39" s="29" t="s">
        <v>53</v>
      </c>
      <c r="B39" s="30" t="s">
        <v>54</v>
      </c>
      <c r="C39" s="42"/>
    </row>
    <row r="40" spans="1:3">
      <c r="A40" s="23"/>
      <c r="B40" s="23"/>
      <c r="C40" s="23"/>
    </row>
    <row r="41" spans="1:3">
      <c r="A41" s="259" t="s">
        <v>55</v>
      </c>
      <c r="B41" s="260"/>
      <c r="C41" s="261"/>
    </row>
    <row r="42" spans="1:3">
      <c r="A42" s="259" t="s">
        <v>56</v>
      </c>
      <c r="B42" s="260"/>
      <c r="C42" s="261"/>
    </row>
    <row r="43" spans="1:3">
      <c r="A43" s="23"/>
      <c r="B43" s="23"/>
      <c r="C43" s="23"/>
    </row>
    <row r="44" spans="1:3">
      <c r="A44" s="19" t="s">
        <v>0</v>
      </c>
      <c r="B44" s="19" t="s">
        <v>1</v>
      </c>
      <c r="C44" s="19" t="s">
        <v>2</v>
      </c>
    </row>
    <row r="45" spans="1:3">
      <c r="A45" s="36" t="s">
        <v>57</v>
      </c>
      <c r="B45" s="20" t="s">
        <v>31</v>
      </c>
      <c r="C45" s="20" t="s">
        <v>58</v>
      </c>
    </row>
    <row r="46" spans="1:3">
      <c r="A46" s="31" t="s">
        <v>59</v>
      </c>
      <c r="B46" s="37" t="s">
        <v>60</v>
      </c>
      <c r="C46" s="37" t="s">
        <v>61</v>
      </c>
    </row>
    <row r="47" spans="1:3">
      <c r="A47" s="31" t="s">
        <v>62</v>
      </c>
      <c r="B47" s="32" t="s">
        <v>60</v>
      </c>
      <c r="C47" s="38">
        <v>44931</v>
      </c>
    </row>
    <row r="48" spans="1:3">
      <c r="A48" s="31" t="s">
        <v>63</v>
      </c>
      <c r="B48" s="38">
        <v>44931</v>
      </c>
      <c r="C48" s="38">
        <v>44931</v>
      </c>
    </row>
    <row r="49" spans="1:3">
      <c r="A49" s="31" t="s">
        <v>64</v>
      </c>
      <c r="B49" s="39">
        <v>152362</v>
      </c>
      <c r="C49" s="39">
        <v>476464</v>
      </c>
    </row>
    <row r="50" spans="1:3">
      <c r="A50" s="31" t="s">
        <v>65</v>
      </c>
      <c r="B50" s="32" t="s">
        <v>60</v>
      </c>
      <c r="C50" s="34">
        <v>7.58</v>
      </c>
    </row>
    <row r="51" spans="1:3">
      <c r="A51" s="31" t="s">
        <v>66</v>
      </c>
      <c r="B51" s="32" t="s">
        <v>60</v>
      </c>
      <c r="C51" s="34">
        <v>6821.34</v>
      </c>
    </row>
    <row r="52" spans="1:3">
      <c r="A52" s="31" t="s">
        <v>67</v>
      </c>
      <c r="B52" s="32" t="s">
        <v>68</v>
      </c>
      <c r="C52" s="32" t="s">
        <v>69</v>
      </c>
    </row>
    <row r="53" spans="1:3">
      <c r="A53" s="31" t="s">
        <v>70</v>
      </c>
      <c r="B53" s="32" t="s">
        <v>71</v>
      </c>
      <c r="C53" s="32" t="s">
        <v>71</v>
      </c>
    </row>
    <row r="54" spans="1:3">
      <c r="A54" s="31" t="s">
        <v>72</v>
      </c>
      <c r="B54" s="32"/>
      <c r="C54" s="34"/>
    </row>
    <row r="55" spans="1:3">
      <c r="A55" s="31" t="s">
        <v>73</v>
      </c>
      <c r="B55" s="32"/>
      <c r="C55" s="34"/>
    </row>
    <row r="56" spans="1:3">
      <c r="A56" s="31" t="s">
        <v>74</v>
      </c>
      <c r="B56" s="32"/>
      <c r="C56" s="34"/>
    </row>
    <row r="57" spans="1:3">
      <c r="A57" s="31" t="s">
        <v>75</v>
      </c>
      <c r="B57" s="32"/>
      <c r="C57" s="43"/>
    </row>
    <row r="58" spans="1:3">
      <c r="A58" s="31" t="s">
        <v>76</v>
      </c>
      <c r="B58" s="32"/>
      <c r="C58" s="34"/>
    </row>
    <row r="62" spans="1:3">
      <c r="A62" s="133" t="s">
        <v>77</v>
      </c>
      <c r="B62" s="133"/>
      <c r="C62" s="133"/>
    </row>
    <row r="63" spans="1:3">
      <c r="A63" s="133" t="s">
        <v>78</v>
      </c>
      <c r="B63" s="133"/>
      <c r="C63" s="133"/>
    </row>
    <row r="64" spans="1:3">
      <c r="A64" s="134" t="s">
        <v>79</v>
      </c>
      <c r="B64" s="133"/>
      <c r="C64" s="133"/>
    </row>
    <row r="65" spans="1:3">
      <c r="A65" s="134" t="s">
        <v>80</v>
      </c>
      <c r="B65" s="133"/>
      <c r="C65" s="133"/>
    </row>
    <row r="66" spans="1:3">
      <c r="A66" s="133" t="s">
        <v>81</v>
      </c>
      <c r="B66" s="133"/>
      <c r="C66" s="133"/>
    </row>
    <row r="67" spans="1:3">
      <c r="A67" s="134" t="s">
        <v>82</v>
      </c>
      <c r="B67" s="133"/>
      <c r="C67" s="133"/>
    </row>
    <row r="68" spans="1:3">
      <c r="A68" s="134" t="s">
        <v>83</v>
      </c>
      <c r="B68" s="133"/>
      <c r="C68" s="133"/>
    </row>
    <row r="69" spans="1:3">
      <c r="A69" s="134" t="s">
        <v>84</v>
      </c>
      <c r="B69" s="133"/>
      <c r="C69" s="133"/>
    </row>
    <row r="70" spans="1:3">
      <c r="A70" s="134" t="s">
        <v>85</v>
      </c>
      <c r="B70" s="133"/>
      <c r="C70" s="133"/>
    </row>
    <row r="71" spans="1:3">
      <c r="A71" s="134" t="s">
        <v>86</v>
      </c>
      <c r="B71" s="133"/>
      <c r="C71" s="133"/>
    </row>
    <row r="72" spans="1:3">
      <c r="A72" s="134" t="s">
        <v>87</v>
      </c>
      <c r="B72" s="133"/>
      <c r="C72" s="133"/>
    </row>
    <row r="73" spans="1:3">
      <c r="A73" s="134" t="s">
        <v>88</v>
      </c>
      <c r="B73" s="133"/>
      <c r="C73" s="133"/>
    </row>
    <row r="74" spans="1:3">
      <c r="A74" s="133" t="s">
        <v>89</v>
      </c>
      <c r="B74" s="133"/>
      <c r="C74" s="133"/>
    </row>
    <row r="75" spans="1:3">
      <c r="A75" s="134" t="s">
        <v>90</v>
      </c>
      <c r="B75" s="133"/>
      <c r="C75" s="133"/>
    </row>
    <row r="76" spans="1:3">
      <c r="A76" s="134" t="s">
        <v>91</v>
      </c>
      <c r="B76" s="133"/>
      <c r="C76" s="133"/>
    </row>
    <row r="77" spans="1:3">
      <c r="A77" s="134" t="s">
        <v>92</v>
      </c>
      <c r="B77" s="133"/>
      <c r="C77" s="133"/>
    </row>
    <row r="78" spans="1:3">
      <c r="A78" s="134" t="s">
        <v>93</v>
      </c>
      <c r="B78" s="133"/>
      <c r="C78" s="133"/>
    </row>
    <row r="79" spans="1:3">
      <c r="A79" s="134" t="s">
        <v>94</v>
      </c>
      <c r="B79" s="133"/>
      <c r="C79" s="133"/>
    </row>
    <row r="80" spans="1:3">
      <c r="A80" s="134" t="s">
        <v>95</v>
      </c>
      <c r="B80" s="133"/>
      <c r="C80" s="133"/>
    </row>
    <row r="81" spans="1:3">
      <c r="A81" s="133" t="s">
        <v>96</v>
      </c>
      <c r="B81" s="133"/>
      <c r="C81" s="133"/>
    </row>
    <row r="82" spans="1:3">
      <c r="A82" s="134" t="s">
        <v>97</v>
      </c>
      <c r="B82" s="133"/>
      <c r="C82" s="133"/>
    </row>
    <row r="83" spans="1:3">
      <c r="A83" s="134" t="s">
        <v>98</v>
      </c>
      <c r="B83" s="133"/>
      <c r="C83" s="133"/>
    </row>
    <row r="84" spans="1:3">
      <c r="A84" s="133" t="s">
        <v>99</v>
      </c>
      <c r="B84" s="133"/>
      <c r="C84" s="133"/>
    </row>
    <row r="85" spans="1:3">
      <c r="A85" s="133"/>
      <c r="B85" s="134" t="s">
        <v>100</v>
      </c>
      <c r="C85" s="133"/>
    </row>
    <row r="86" spans="1:3">
      <c r="A86" s="133"/>
      <c r="B86" s="134" t="s">
        <v>101</v>
      </c>
      <c r="C86" s="133"/>
    </row>
    <row r="87" spans="1:3">
      <c r="A87" s="133" t="s">
        <v>102</v>
      </c>
      <c r="B87" s="133"/>
      <c r="C87" s="133"/>
    </row>
    <row r="88" spans="1:3">
      <c r="A88" s="134" t="s">
        <v>103</v>
      </c>
      <c r="B88" s="133"/>
      <c r="C88" s="133"/>
    </row>
    <row r="89" spans="1:3">
      <c r="A89" s="133" t="s">
        <v>104</v>
      </c>
      <c r="B89" s="133"/>
      <c r="C89" s="133"/>
    </row>
    <row r="90" spans="1:3">
      <c r="A90" s="133" t="s">
        <v>105</v>
      </c>
      <c r="B90" s="133"/>
      <c r="C90" s="133"/>
    </row>
    <row r="91" spans="1:3">
      <c r="A91" s="133"/>
      <c r="B91" s="133" t="s">
        <v>3</v>
      </c>
      <c r="C91" s="133"/>
    </row>
    <row r="92" spans="1:3">
      <c r="A92" s="133"/>
      <c r="B92" s="133" t="s">
        <v>106</v>
      </c>
      <c r="C92" s="133"/>
    </row>
    <row r="93" spans="1:3">
      <c r="A93" s="133"/>
      <c r="B93" s="133" t="s">
        <v>107</v>
      </c>
      <c r="C93" s="133"/>
    </row>
    <row r="94" spans="1:3">
      <c r="A94" s="133"/>
      <c r="B94" s="133" t="s">
        <v>108</v>
      </c>
      <c r="C94" s="133"/>
    </row>
    <row r="95" spans="1:3">
      <c r="A95" s="133"/>
      <c r="B95" s="134" t="s">
        <v>109</v>
      </c>
      <c r="C95" s="133"/>
    </row>
    <row r="96" spans="1:3">
      <c r="A96" s="133" t="s">
        <v>110</v>
      </c>
      <c r="B96" s="133"/>
      <c r="C96" s="133"/>
    </row>
    <row r="97" spans="1:3">
      <c r="A97" s="133"/>
      <c r="B97" s="133" t="s">
        <v>111</v>
      </c>
      <c r="C97" s="133"/>
    </row>
    <row r="98" spans="1:3">
      <c r="A98" s="133"/>
      <c r="B98" s="133" t="s">
        <v>112</v>
      </c>
      <c r="C98" s="133"/>
    </row>
    <row r="99" spans="1:3">
      <c r="A99" s="133" t="s">
        <v>113</v>
      </c>
      <c r="B99" s="133"/>
      <c r="C99" s="133"/>
    </row>
    <row r="100" spans="1:3">
      <c r="A100" s="133">
        <v>1</v>
      </c>
      <c r="B100" s="133" t="s">
        <v>114</v>
      </c>
      <c r="C100" s="133"/>
    </row>
    <row r="101" spans="1:3">
      <c r="A101" s="133">
        <v>2</v>
      </c>
      <c r="B101" s="133" t="s">
        <v>115</v>
      </c>
      <c r="C101" s="133"/>
    </row>
    <row r="102" spans="1:3">
      <c r="A102" s="133"/>
      <c r="B102" s="133"/>
      <c r="C102" s="133" t="s">
        <v>116</v>
      </c>
    </row>
    <row r="103" spans="1:3">
      <c r="A103" s="133"/>
      <c r="B103" s="133"/>
      <c r="C103" s="133" t="s">
        <v>117</v>
      </c>
    </row>
    <row r="104" spans="1:3">
      <c r="A104" s="133">
        <v>3</v>
      </c>
      <c r="B104" s="133" t="s">
        <v>118</v>
      </c>
      <c r="C104" s="133"/>
    </row>
    <row r="105" spans="1:3">
      <c r="A105" s="133">
        <v>4</v>
      </c>
      <c r="B105" s="133" t="s">
        <v>119</v>
      </c>
      <c r="C105" s="133"/>
    </row>
    <row r="106" spans="1:3">
      <c r="A106" s="133"/>
      <c r="B106" s="133"/>
      <c r="C106" s="134" t="s">
        <v>120</v>
      </c>
    </row>
    <row r="107" spans="1:3">
      <c r="A107" s="133"/>
      <c r="B107" s="133"/>
      <c r="C107" s="134" t="s">
        <v>121</v>
      </c>
    </row>
    <row r="108" spans="1:3">
      <c r="A108" s="133" t="s">
        <v>122</v>
      </c>
      <c r="B108" s="133"/>
      <c r="C108" s="133"/>
    </row>
    <row r="109" spans="1:3">
      <c r="A109" s="133" t="s">
        <v>123</v>
      </c>
      <c r="B109" s="133"/>
      <c r="C109" s="133"/>
    </row>
    <row r="110" spans="1:3">
      <c r="A110" s="133" t="s">
        <v>124</v>
      </c>
      <c r="B110" s="133"/>
      <c r="C110" s="133"/>
    </row>
    <row r="111" spans="1:3">
      <c r="A111" s="134" t="s">
        <v>125</v>
      </c>
      <c r="B111" s="133"/>
      <c r="C111" s="133"/>
    </row>
    <row r="112" spans="1:3">
      <c r="A112" s="134" t="s">
        <v>126</v>
      </c>
      <c r="B112" s="133"/>
      <c r="C112" s="133"/>
    </row>
    <row r="113" spans="1:3">
      <c r="A113" s="133" t="s">
        <v>127</v>
      </c>
      <c r="B113" s="133"/>
      <c r="C113" s="133"/>
    </row>
    <row r="114" spans="1: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90"/>
  <sheetViews>
    <sheetView showGridLines="0" workbookViewId="0">
      <pane ySplit="1" topLeftCell="D68" activePane="bottomLeft" state="frozen"/>
      <selection pane="bottomLeft" activeCell="H68" sqref="H68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5">
      <c r="A2" s="12" t="s">
        <v>148</v>
      </c>
      <c r="B2" s="10" t="s">
        <v>149</v>
      </c>
      <c r="C2" s="97">
        <f t="shared" ref="C2:C33" si="0"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148</v>
      </c>
      <c r="B3" s="10" t="s">
        <v>149</v>
      </c>
      <c r="C3" s="97">
        <f t="shared" si="0"/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3" si="1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148</v>
      </c>
      <c r="B4" s="10" t="s">
        <v>149</v>
      </c>
      <c r="C4" s="97">
        <f t="shared" si="0"/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148</v>
      </c>
      <c r="B5" s="10" t="s">
        <v>168</v>
      </c>
      <c r="C5" s="97">
        <f t="shared" si="0"/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148</v>
      </c>
      <c r="B6" s="10" t="s">
        <v>168</v>
      </c>
      <c r="C6" s="97">
        <f t="shared" si="0"/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1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148</v>
      </c>
      <c r="B7" s="10" t="s">
        <v>168</v>
      </c>
      <c r="C7" s="97">
        <f t="shared" si="0"/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1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148</v>
      </c>
      <c r="B8" s="10" t="s">
        <v>183</v>
      </c>
      <c r="C8" s="97">
        <f t="shared" si="0"/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1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97">
        <f t="shared" si="0"/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97">
        <f t="shared" si="0"/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148</v>
      </c>
      <c r="B11" s="10" t="s">
        <v>202</v>
      </c>
      <c r="C11" s="97">
        <f t="shared" si="0"/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 ht="14.45">
      <c r="A12" s="12" t="s">
        <v>148</v>
      </c>
      <c r="B12" s="10" t="s">
        <v>208</v>
      </c>
      <c r="C12" s="97">
        <f t="shared" si="0"/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1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 ht="14.45">
      <c r="A13" s="12" t="s">
        <v>148</v>
      </c>
      <c r="B13" s="10" t="s">
        <v>189</v>
      </c>
      <c r="C13" s="97">
        <f t="shared" si="0"/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1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 ht="14.45">
      <c r="A14" s="12" t="s">
        <v>148</v>
      </c>
      <c r="B14" s="10" t="s">
        <v>168</v>
      </c>
      <c r="C14" s="97">
        <f t="shared" si="0"/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1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 ht="14.45">
      <c r="A15" s="12" t="s">
        <v>148</v>
      </c>
      <c r="B15" s="10" t="s">
        <v>202</v>
      </c>
      <c r="C15" s="97">
        <f t="shared" si="0"/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5">
      <c r="A16" s="12" t="s">
        <v>226</v>
      </c>
      <c r="B16" s="10" t="s">
        <v>208</v>
      </c>
      <c r="C16" s="97">
        <f t="shared" si="0"/>
        <v>0.15625</v>
      </c>
      <c r="D16" s="10">
        <v>150</v>
      </c>
      <c r="E16" s="98">
        <v>500</v>
      </c>
      <c r="F16" s="99"/>
      <c r="G16" s="10" t="s">
        <v>227</v>
      </c>
      <c r="H16" s="100">
        <v>45966</v>
      </c>
      <c r="I16" s="101">
        <v>45966</v>
      </c>
      <c r="J16" s="10" t="s">
        <v>228</v>
      </c>
      <c r="K16" s="10" t="s">
        <v>199</v>
      </c>
      <c r="L16" s="10" t="s">
        <v>193</v>
      </c>
      <c r="M16" s="10" t="s">
        <v>154</v>
      </c>
      <c r="N16" s="12" t="s">
        <v>155</v>
      </c>
      <c r="O16" s="10" t="s">
        <v>156</v>
      </c>
      <c r="P16" s="12" t="s">
        <v>229</v>
      </c>
      <c r="Q16" s="10" t="s">
        <v>230</v>
      </c>
      <c r="R16" s="10" t="s">
        <v>193</v>
      </c>
      <c r="S16" s="10" t="s">
        <v>179</v>
      </c>
      <c r="T16" s="2" t="str">
        <f t="shared" si="1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 ht="14.45">
      <c r="A17" s="12" t="s">
        <v>226</v>
      </c>
      <c r="B17" s="10" t="s">
        <v>208</v>
      </c>
      <c r="C17" s="97">
        <f t="shared" si="0"/>
        <v>0.15625</v>
      </c>
      <c r="D17" s="10">
        <v>150</v>
      </c>
      <c r="E17" s="98">
        <v>500</v>
      </c>
      <c r="F17" s="99"/>
      <c r="G17" s="10" t="s">
        <v>231</v>
      </c>
      <c r="H17" s="100">
        <v>45966</v>
      </c>
      <c r="I17" s="101">
        <v>45966</v>
      </c>
      <c r="J17" s="10" t="s">
        <v>228</v>
      </c>
      <c r="K17" s="10" t="s">
        <v>199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229</v>
      </c>
      <c r="Q17" s="10" t="s">
        <v>230</v>
      </c>
      <c r="R17" s="10" t="s">
        <v>193</v>
      </c>
      <c r="S17" s="10" t="s">
        <v>182</v>
      </c>
      <c r="T17" s="2" t="str">
        <f t="shared" si="1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 ht="14.45">
      <c r="A18" s="12" t="s">
        <v>148</v>
      </c>
      <c r="B18" s="10" t="s">
        <v>189</v>
      </c>
      <c r="C18" s="97">
        <f t="shared" si="0"/>
        <v>0.25520833333333331</v>
      </c>
      <c r="D18" s="10">
        <v>245</v>
      </c>
      <c r="E18" s="98">
        <f>IFERROR((D18*6),"?")</f>
        <v>1470</v>
      </c>
      <c r="F18" s="99"/>
      <c r="G18" s="10" t="s">
        <v>232</v>
      </c>
      <c r="H18" s="100">
        <v>45967</v>
      </c>
      <c r="I18" s="101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5">
      <c r="A19" s="12" t="s">
        <v>148</v>
      </c>
      <c r="B19" s="10" t="s">
        <v>208</v>
      </c>
      <c r="C19" s="97">
        <f t="shared" si="0"/>
        <v>0.18229166666666666</v>
      </c>
      <c r="D19" s="10">
        <v>175</v>
      </c>
      <c r="E19" s="98">
        <f>IFERROR((D19*6),"?")</f>
        <v>1050</v>
      </c>
      <c r="F19" s="99"/>
      <c r="G19" s="10" t="s">
        <v>237</v>
      </c>
      <c r="H19" s="100">
        <v>45968</v>
      </c>
      <c r="I19" s="101">
        <v>45969</v>
      </c>
      <c r="J19" s="10" t="s">
        <v>238</v>
      </c>
      <c r="K19" s="10" t="s">
        <v>210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5">
      <c r="A20" s="12" t="s">
        <v>148</v>
      </c>
      <c r="B20" s="10" t="s">
        <v>208</v>
      </c>
      <c r="C20" s="97">
        <f t="shared" si="0"/>
        <v>0.18229166666666666</v>
      </c>
      <c r="D20" s="10">
        <v>175</v>
      </c>
      <c r="E20" s="98">
        <f>IFERROR((D20*6),"?")</f>
        <v>1050</v>
      </c>
      <c r="F20" s="99"/>
      <c r="G20" s="10" t="s">
        <v>241</v>
      </c>
      <c r="H20" s="100">
        <v>45968</v>
      </c>
      <c r="I20" s="101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5">
      <c r="A21" s="12" t="s">
        <v>148</v>
      </c>
      <c r="B21" s="10" t="s">
        <v>168</v>
      </c>
      <c r="C21" s="97">
        <f t="shared" si="0"/>
        <v>0.34375</v>
      </c>
      <c r="D21" s="10">
        <v>330</v>
      </c>
      <c r="E21" s="98"/>
      <c r="F21" s="99">
        <v>2890</v>
      </c>
      <c r="G21" s="10" t="s">
        <v>245</v>
      </c>
      <c r="H21" s="100">
        <v>45968</v>
      </c>
      <c r="I21" s="101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5">
      <c r="A22" s="12" t="s">
        <v>148</v>
      </c>
      <c r="B22" s="10" t="s">
        <v>208</v>
      </c>
      <c r="C22" s="97">
        <f t="shared" si="0"/>
        <v>0.33854166666666669</v>
      </c>
      <c r="D22" s="10">
        <v>325</v>
      </c>
      <c r="E22" s="98">
        <f>IFERROR((D22*6),"?")</f>
        <v>1950</v>
      </c>
      <c r="F22" s="99"/>
      <c r="G22" s="10" t="s">
        <v>249</v>
      </c>
      <c r="H22" s="100">
        <v>45972</v>
      </c>
      <c r="I22" s="101">
        <v>45972</v>
      </c>
      <c r="J22" s="10" t="s">
        <v>250</v>
      </c>
      <c r="K22" s="10" t="s">
        <v>186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182</v>
      </c>
      <c r="T22" s="2" t="str">
        <f t="shared" si="1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 ht="14.45">
      <c r="A23" s="12" t="s">
        <v>148</v>
      </c>
      <c r="B23" s="10" t="s">
        <v>208</v>
      </c>
      <c r="C23" s="97">
        <f t="shared" si="0"/>
        <v>0.265625</v>
      </c>
      <c r="D23" s="10">
        <v>255</v>
      </c>
      <c r="E23" s="98">
        <f>IFERROR((D23*6),"?")</f>
        <v>1530</v>
      </c>
      <c r="F23" s="99"/>
      <c r="G23" s="10" t="s">
        <v>254</v>
      </c>
      <c r="H23" s="100">
        <v>45972</v>
      </c>
      <c r="I23" s="101">
        <v>45972</v>
      </c>
      <c r="J23" s="10" t="s">
        <v>255</v>
      </c>
      <c r="K23" s="10" t="s">
        <v>186</v>
      </c>
      <c r="L23" s="10" t="s">
        <v>153</v>
      </c>
      <c r="M23" s="10" t="s">
        <v>251</v>
      </c>
      <c r="N23" s="12" t="s">
        <v>252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1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 ht="14.45">
      <c r="A24" s="12" t="s">
        <v>148</v>
      </c>
      <c r="B24" s="10" t="s">
        <v>208</v>
      </c>
      <c r="C24" s="97">
        <f t="shared" si="0"/>
        <v>0.265625</v>
      </c>
      <c r="D24" s="10">
        <v>255</v>
      </c>
      <c r="E24" s="98">
        <f>IFERROR((D24*6),"?")</f>
        <v>1530</v>
      </c>
      <c r="F24" s="99"/>
      <c r="G24" s="10" t="s">
        <v>256</v>
      </c>
      <c r="H24" s="100">
        <v>45972</v>
      </c>
      <c r="I24" s="101">
        <v>45972</v>
      </c>
      <c r="J24" s="10" t="s">
        <v>255</v>
      </c>
      <c r="K24" s="10" t="s">
        <v>186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159</v>
      </c>
      <c r="T24" s="2" t="str">
        <f t="shared" si="1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 ht="14.45">
      <c r="A25" s="12" t="s">
        <v>148</v>
      </c>
      <c r="B25" s="10" t="s">
        <v>208</v>
      </c>
      <c r="C25" s="97">
        <f t="shared" si="0"/>
        <v>0.33854166666666669</v>
      </c>
      <c r="D25" s="10">
        <v>325</v>
      </c>
      <c r="E25" s="98">
        <f>IFERROR((D25*6),"?")</f>
        <v>1950</v>
      </c>
      <c r="F25" s="99"/>
      <c r="G25" s="10" t="s">
        <v>257</v>
      </c>
      <c r="H25" s="100">
        <v>45972</v>
      </c>
      <c r="I25" s="101">
        <v>45972</v>
      </c>
      <c r="J25" s="10" t="s">
        <v>258</v>
      </c>
      <c r="K25" s="10" t="s">
        <v>186</v>
      </c>
      <c r="L25" s="10" t="s">
        <v>153</v>
      </c>
      <c r="M25" s="10" t="s">
        <v>251</v>
      </c>
      <c r="N25" s="12" t="s">
        <v>252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1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 ht="14.45">
      <c r="A26" s="12" t="s">
        <v>148</v>
      </c>
      <c r="B26" s="10" t="s">
        <v>168</v>
      </c>
      <c r="C26" s="97">
        <f t="shared" si="0"/>
        <v>8.1250000000000003E-2</v>
      </c>
      <c r="D26" s="10">
        <v>78</v>
      </c>
      <c r="E26" s="98"/>
      <c r="F26" s="99">
        <v>1389</v>
      </c>
      <c r="G26" s="10" t="s">
        <v>259</v>
      </c>
      <c r="H26" s="100">
        <v>45972</v>
      </c>
      <c r="I26" s="101">
        <v>45972</v>
      </c>
      <c r="J26" s="10" t="s">
        <v>260</v>
      </c>
      <c r="K26" s="10" t="s">
        <v>171</v>
      </c>
      <c r="L26" s="10" t="s">
        <v>251</v>
      </c>
      <c r="M26" s="10" t="s">
        <v>154</v>
      </c>
      <c r="N26" s="12" t="s">
        <v>155</v>
      </c>
      <c r="O26" s="10" t="s">
        <v>156</v>
      </c>
      <c r="P26" s="13" t="s">
        <v>261</v>
      </c>
      <c r="Q26" s="10" t="s">
        <v>262</v>
      </c>
      <c r="R26" s="10" t="s">
        <v>172</v>
      </c>
      <c r="S26" s="10" t="s">
        <v>159</v>
      </c>
      <c r="T26" s="2" t="str">
        <f t="shared" si="1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 ht="14.45">
      <c r="A27" s="12" t="s">
        <v>226</v>
      </c>
      <c r="B27" s="10" t="s">
        <v>208</v>
      </c>
      <c r="C27" s="97">
        <f t="shared" si="0"/>
        <v>0.52083333333333337</v>
      </c>
      <c r="D27" s="10">
        <v>500</v>
      </c>
      <c r="E27" s="98">
        <v>800</v>
      </c>
      <c r="F27" s="99"/>
      <c r="G27" s="10" t="s">
        <v>263</v>
      </c>
      <c r="H27" s="100">
        <v>45972</v>
      </c>
      <c r="I27" s="101">
        <v>45971</v>
      </c>
      <c r="J27" s="10" t="s">
        <v>264</v>
      </c>
      <c r="K27" s="10" t="s">
        <v>210</v>
      </c>
      <c r="L27" s="10" t="s">
        <v>172</v>
      </c>
      <c r="M27" s="10" t="s">
        <v>154</v>
      </c>
      <c r="N27" s="12" t="s">
        <v>265</v>
      </c>
      <c r="O27" s="10" t="s">
        <v>156</v>
      </c>
      <c r="P27" s="13" t="s">
        <v>266</v>
      </c>
      <c r="Q27" s="10" t="s">
        <v>253</v>
      </c>
      <c r="R27" s="10" t="s">
        <v>172</v>
      </c>
      <c r="S27" s="10" t="s">
        <v>179</v>
      </c>
      <c r="T27" s="2" t="str">
        <f t="shared" si="1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 ht="14.45">
      <c r="A28" s="12" t="s">
        <v>226</v>
      </c>
      <c r="B28" s="10" t="s">
        <v>208</v>
      </c>
      <c r="C28" s="97">
        <f t="shared" si="0"/>
        <v>0.52083333333333337</v>
      </c>
      <c r="D28" s="10">
        <v>500</v>
      </c>
      <c r="E28" s="98">
        <v>2200</v>
      </c>
      <c r="F28" s="99"/>
      <c r="G28" s="10" t="s">
        <v>267</v>
      </c>
      <c r="H28" s="100">
        <v>45972</v>
      </c>
      <c r="I28" s="101">
        <v>45971</v>
      </c>
      <c r="J28" s="10" t="s">
        <v>264</v>
      </c>
      <c r="K28" s="10" t="s">
        <v>210</v>
      </c>
      <c r="L28" s="10" t="s">
        <v>172</v>
      </c>
      <c r="M28" s="10" t="s">
        <v>154</v>
      </c>
      <c r="N28" s="12" t="s">
        <v>265</v>
      </c>
      <c r="O28" s="10" t="s">
        <v>156</v>
      </c>
      <c r="P28" s="13" t="s">
        <v>266</v>
      </c>
      <c r="Q28" s="10" t="s">
        <v>253</v>
      </c>
      <c r="R28" s="10" t="s">
        <v>172</v>
      </c>
      <c r="S28" s="10" t="s">
        <v>182</v>
      </c>
      <c r="T28" s="2" t="str">
        <f t="shared" si="1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 ht="14.45">
      <c r="A29" s="12" t="s">
        <v>148</v>
      </c>
      <c r="B29" s="10" t="s">
        <v>189</v>
      </c>
      <c r="C29" s="97">
        <f t="shared" si="0"/>
        <v>5.9374999999999997E-2</v>
      </c>
      <c r="D29" s="10">
        <v>57</v>
      </c>
      <c r="E29" s="98">
        <f>IFERROR((D29*6),"?")</f>
        <v>342</v>
      </c>
      <c r="F29" s="99"/>
      <c r="G29" s="10" t="s">
        <v>268</v>
      </c>
      <c r="H29" s="100">
        <v>45973</v>
      </c>
      <c r="I29" s="101">
        <v>45973</v>
      </c>
      <c r="J29" s="10" t="s">
        <v>164</v>
      </c>
      <c r="K29" s="10" t="s">
        <v>210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5">
      <c r="A30" s="12" t="s">
        <v>148</v>
      </c>
      <c r="B30" s="10" t="s">
        <v>208</v>
      </c>
      <c r="C30" s="97">
        <f t="shared" si="0"/>
        <v>0.10416666666666667</v>
      </c>
      <c r="D30" s="10">
        <v>100</v>
      </c>
      <c r="E30" s="98">
        <f>IFERROR((D30*6),"?")</f>
        <v>600</v>
      </c>
      <c r="F30" s="99"/>
      <c r="G30" s="10" t="s">
        <v>271</v>
      </c>
      <c r="H30" s="100">
        <v>45974</v>
      </c>
      <c r="I30" s="101">
        <v>45974</v>
      </c>
      <c r="J30" s="10" t="s">
        <v>164</v>
      </c>
      <c r="K30" s="10" t="s">
        <v>210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1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 ht="14.45">
      <c r="A31" s="12" t="s">
        <v>148</v>
      </c>
      <c r="B31" s="10" t="s">
        <v>189</v>
      </c>
      <c r="C31" s="97">
        <f t="shared" si="0"/>
        <v>0.109375</v>
      </c>
      <c r="D31" s="10">
        <v>105</v>
      </c>
      <c r="E31" s="98">
        <f>IFERROR((D31*6),"?")</f>
        <v>630</v>
      </c>
      <c r="F31" s="99"/>
      <c r="G31" s="10" t="s">
        <v>274</v>
      </c>
      <c r="H31" s="100">
        <v>45974</v>
      </c>
      <c r="I31" s="101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36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</row>
    <row r="32" spans="1:21" ht="14.45">
      <c r="A32" s="12" t="s">
        <v>148</v>
      </c>
      <c r="B32" s="10" t="s">
        <v>189</v>
      </c>
      <c r="C32" s="97">
        <f t="shared" si="0"/>
        <v>7.4999999999999997E-2</v>
      </c>
      <c r="D32" s="10">
        <v>72</v>
      </c>
      <c r="E32" s="98">
        <f>IFERROR((D32*6),"?")</f>
        <v>432</v>
      </c>
      <c r="F32" s="99"/>
      <c r="G32" s="10" t="s">
        <v>278</v>
      </c>
      <c r="H32" s="100">
        <v>45974</v>
      </c>
      <c r="I32" s="101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5">
      <c r="A33" s="12" t="s">
        <v>148</v>
      </c>
      <c r="B33" s="10" t="s">
        <v>189</v>
      </c>
      <c r="C33" s="97">
        <f t="shared" si="0"/>
        <v>0.11979166666666667</v>
      </c>
      <c r="D33" s="10">
        <v>115</v>
      </c>
      <c r="E33" s="98">
        <f>IFERROR((D33*6),"?")</f>
        <v>690</v>
      </c>
      <c r="F33" s="99"/>
      <c r="G33" s="10" t="s">
        <v>163</v>
      </c>
      <c r="H33" s="100">
        <v>45974</v>
      </c>
      <c r="I33" s="101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si="1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TRIM(SUBSTITUTE(T33,CHAR(160),"")),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UTIL!BP:BP, "", 0),
        IFERROR(
          _xlfn.XLOOKUP("*"&amp;_xlpm.chave&amp;"*", _xlpm.fonte, UTIL!BP:BP, "", 2),
          "Não encontrado"
        )
      )
    ),
  _xlpm.dimtxt_antigo,
    IF(
      _xlpm.ehTrator,
      IFERROR(
        _xlfn.XLOOKUP(MID(_xlpm.ch,4,4), UTIL!BR:BR, UTIL!BY:BY, "", 0),
        IFERROR(
          _xlfn.XLOOKUP("*"&amp;MID(_xlpm.ch,4,4)&amp;"*", UTIL!BR:BR, UTIL!BY:BY, "", 2),
          "Não encontrado"
        )
      ),
      IFERROR(
        _xlfn.XLOOKUP(_xlpm.chave, _xlpm.fonte, UTIL!BY:BY, "", 0),
        IFERROR(
          _xlfn.XLOOKUP("*"&amp;_xlpm.chave&amp;"*", _xlpm.fonte, UTIL!BY:BY, "", 2),
          "Não encontrado"
        )
      )
    ),
  _xlpm.tipotxt, IF(_xlpm.tipoMod&lt;&gt;"", _xlpm.tipoMod, _xlpm.tipotxt_antigo),
  _xlpm.dimtxt,  IF(_xlpm.dimMod&lt;&gt;"", _xlpm.dimMod, _xlpm.dimtxt_antigo),
  _xlpm.deTxt, IF(L33="CLIENTE", O33,
       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5">
      <c r="A34" s="12" t="s">
        <v>148</v>
      </c>
      <c r="B34" s="10" t="s">
        <v>284</v>
      </c>
      <c r="C34" s="97">
        <f t="shared" ref="C34:C65" si="2">IFERROR((D34*1.5)/1440, "?")</f>
        <v>0.10312499999999999</v>
      </c>
      <c r="D34" s="10">
        <v>99</v>
      </c>
      <c r="E34" s="98"/>
      <c r="F34" s="99">
        <v>1000</v>
      </c>
      <c r="G34" s="10" t="s">
        <v>285</v>
      </c>
      <c r="H34" s="100">
        <v>45974</v>
      </c>
      <c r="I34" s="101">
        <v>45974</v>
      </c>
      <c r="J34" s="10" t="s">
        <v>286</v>
      </c>
      <c r="K34" s="10" t="s">
        <v>223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ref="T34:T38" si="3">IF(
  OR(
    IFERROR(FIND("BM",G34),0)&gt;0,
    IFERROR(FIND("PY",G34),0)&gt;0
  ),
  MID(TRIM(SUBSTITUTE(SUBSTITUTE(G34,CHAR(160),""),CHAR(9),"")),4,5),
  MID(TRIM(SUBSTITUTE(SUBSTITUTE(G34,CHAR(160),""),CHAR(9),"")),4,4)
)</f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t="14.45">
      <c r="A35" s="143" t="s">
        <v>148</v>
      </c>
      <c r="B35" s="144" t="s">
        <v>149</v>
      </c>
      <c r="C35" s="145">
        <f t="shared" si="2"/>
        <v>9.375E-2</v>
      </c>
      <c r="D35" s="144">
        <v>90</v>
      </c>
      <c r="E35" s="146"/>
      <c r="F35" s="147">
        <v>430</v>
      </c>
      <c r="G35" s="144"/>
      <c r="H35" s="148">
        <v>45975</v>
      </c>
      <c r="I35" s="149">
        <v>45975</v>
      </c>
      <c r="J35" s="10" t="s">
        <v>164</v>
      </c>
      <c r="K35" s="10" t="s">
        <v>152</v>
      </c>
      <c r="L35" s="10" t="s">
        <v>154</v>
      </c>
      <c r="M35" s="10" t="s">
        <v>153</v>
      </c>
      <c r="N35" s="12" t="s">
        <v>165</v>
      </c>
      <c r="O35" s="144" t="s">
        <v>154</v>
      </c>
      <c r="P35" s="150" t="s">
        <v>156</v>
      </c>
      <c r="Q35" s="144"/>
      <c r="R35" s="144" t="s">
        <v>289</v>
      </c>
      <c r="S35" s="144" t="s">
        <v>159</v>
      </c>
      <c r="T35" s="2" t="str">
        <f t="shared" si="3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NOME: **_x000D_
- SOLICITAÇÕES_x000D_
- *Cliente*: CLIENTE → MANUTENÇÃO -NF 45975_x000D_
- *Obs:* _x000D_
- *De*: CLIENTE_x000D_
- *Para*: MACPONTA AGRO DE IRATI_x000D_
- *Ida e volta*: +/- 2:15h | 90km</v>
      </c>
    </row>
    <row r="36" spans="1:21" ht="14.45">
      <c r="A36" s="143" t="s">
        <v>148</v>
      </c>
      <c r="B36" s="144" t="s">
        <v>149</v>
      </c>
      <c r="C36" s="145">
        <f t="shared" si="2"/>
        <v>8.7499999999999994E-2</v>
      </c>
      <c r="D36" s="144">
        <v>84</v>
      </c>
      <c r="E36" s="146"/>
      <c r="F36" s="147">
        <v>450</v>
      </c>
      <c r="G36" s="144" t="s">
        <v>290</v>
      </c>
      <c r="H36" s="148">
        <v>45975</v>
      </c>
      <c r="I36" s="149">
        <v>45975</v>
      </c>
      <c r="J36" s="144" t="s">
        <v>291</v>
      </c>
      <c r="K36" s="144" t="s">
        <v>186</v>
      </c>
      <c r="L36" s="144" t="s">
        <v>153</v>
      </c>
      <c r="M36" s="144" t="s">
        <v>154</v>
      </c>
      <c r="N36" s="143" t="s">
        <v>155</v>
      </c>
      <c r="O36" s="144" t="s">
        <v>156</v>
      </c>
      <c r="P36" s="150" t="s">
        <v>292</v>
      </c>
      <c r="Q36" s="144" t="s">
        <v>293</v>
      </c>
      <c r="R36" s="144" t="s">
        <v>153</v>
      </c>
      <c r="S36" s="144" t="s">
        <v>159</v>
      </c>
      <c r="T36" s="2" t="str">
        <f t="shared" si="3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 ht="14.45">
      <c r="A37" s="143" t="s">
        <v>148</v>
      </c>
      <c r="B37" s="144" t="s">
        <v>149</v>
      </c>
      <c r="C37" s="145">
        <f t="shared" si="2"/>
        <v>0.11041666666666666</v>
      </c>
      <c r="D37" s="144">
        <v>106</v>
      </c>
      <c r="E37" s="146"/>
      <c r="F37" s="147">
        <v>300</v>
      </c>
      <c r="G37" s="144" t="s">
        <v>294</v>
      </c>
      <c r="H37" s="148">
        <v>45975</v>
      </c>
      <c r="I37" s="149">
        <v>45975</v>
      </c>
      <c r="J37" s="144" t="s">
        <v>295</v>
      </c>
      <c r="K37" s="144" t="s">
        <v>186</v>
      </c>
      <c r="L37" s="144" t="s">
        <v>153</v>
      </c>
      <c r="M37" s="144" t="s">
        <v>154</v>
      </c>
      <c r="N37" s="143" t="s">
        <v>155</v>
      </c>
      <c r="O37" s="144" t="s">
        <v>156</v>
      </c>
      <c r="P37" s="150" t="s">
        <v>296</v>
      </c>
      <c r="Q37" s="144" t="s">
        <v>297</v>
      </c>
      <c r="R37" s="144" t="s">
        <v>153</v>
      </c>
      <c r="S37" s="144" t="s">
        <v>159</v>
      </c>
      <c r="T37" s="2" t="str">
        <f t="shared" si="3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8" spans="1:21" ht="14.45">
      <c r="A38" s="143" t="s">
        <v>148</v>
      </c>
      <c r="B38" s="144" t="s">
        <v>298</v>
      </c>
      <c r="C38" s="145">
        <f t="shared" si="2"/>
        <v>0.17291666666666666</v>
      </c>
      <c r="D38" s="144">
        <v>166</v>
      </c>
      <c r="E38" s="146"/>
      <c r="F38" s="147">
        <v>1328</v>
      </c>
      <c r="G38" s="144" t="s">
        <v>299</v>
      </c>
      <c r="H38" s="148">
        <v>45975</v>
      </c>
      <c r="I38" s="149">
        <v>45975</v>
      </c>
      <c r="J38" s="144" t="s">
        <v>300</v>
      </c>
      <c r="K38" s="144" t="s">
        <v>204</v>
      </c>
      <c r="L38" s="144" t="s">
        <v>154</v>
      </c>
      <c r="M38" s="144" t="s">
        <v>205</v>
      </c>
      <c r="N38" s="143" t="s">
        <v>165</v>
      </c>
      <c r="O38" s="152" t="s">
        <v>301</v>
      </c>
      <c r="P38" s="143" t="s">
        <v>156</v>
      </c>
      <c r="Q38" s="144" t="s">
        <v>302</v>
      </c>
      <c r="R38" s="144" t="s">
        <v>205</v>
      </c>
      <c r="S38" s="144" t="s">
        <v>159</v>
      </c>
      <c r="T38" s="2" t="str">
        <f t="shared" si="3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9" spans="1:21" ht="14.45">
      <c r="A39" s="12" t="s">
        <v>148</v>
      </c>
      <c r="B39" s="10" t="s">
        <v>168</v>
      </c>
      <c r="C39" s="97">
        <f t="shared" si="2"/>
        <v>0.4375</v>
      </c>
      <c r="D39" s="10">
        <v>420</v>
      </c>
      <c r="E39" s="98"/>
      <c r="F39" s="99">
        <v>3662.3</v>
      </c>
      <c r="G39" s="10" t="s">
        <v>303</v>
      </c>
      <c r="H39" s="100">
        <v>45975</v>
      </c>
      <c r="I39" s="101">
        <v>45975</v>
      </c>
      <c r="J39" s="10" t="s">
        <v>304</v>
      </c>
      <c r="K39" s="10" t="s">
        <v>234</v>
      </c>
      <c r="L39" s="10" t="s">
        <v>172</v>
      </c>
      <c r="M39" s="10" t="s">
        <v>154</v>
      </c>
      <c r="N39" s="12" t="s">
        <v>155</v>
      </c>
      <c r="O39" s="10" t="s">
        <v>156</v>
      </c>
      <c r="P39" s="137" t="s">
        <v>305</v>
      </c>
      <c r="Q39" s="10" t="s">
        <v>306</v>
      </c>
      <c r="R39" s="10" t="s">
        <v>307</v>
      </c>
      <c r="S39" s="10" t="s">
        <v>159</v>
      </c>
      <c r="T39" s="2" t="str">
        <f t="shared" ref="T39:T49" si="4">IF(
  OR(
    IFERROR(FIND("BM",G39),0)&gt;0,
    IFERROR(FIND("PY",G39),0)&gt;0
  ),
  MID(TRIM(SUBSTITUTE(SUBSTITUTE(G39,CHAR(160),""),CHAR(9),"")),4,5),
  MID(TRIM(SUBSTITUTE(SUBSTITUTE(G39,CHAR(160),""),CHAR(9),"")),4,4)
)</f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0" spans="1:21" ht="14.45">
      <c r="A40" s="12" t="s">
        <v>226</v>
      </c>
      <c r="B40" s="10" t="s">
        <v>189</v>
      </c>
      <c r="C40" s="97">
        <f t="shared" si="2"/>
        <v>0.31874999999999998</v>
      </c>
      <c r="D40" s="10">
        <v>306</v>
      </c>
      <c r="E40" s="98">
        <f>IFERROR((D40*6),"?")</f>
        <v>1836</v>
      </c>
      <c r="F40" s="99"/>
      <c r="G40" s="10" t="s">
        <v>308</v>
      </c>
      <c r="H40" s="100">
        <v>45975</v>
      </c>
      <c r="I40" s="101">
        <v>45975</v>
      </c>
      <c r="J40" s="10" t="s">
        <v>309</v>
      </c>
      <c r="K40" s="10" t="s">
        <v>223</v>
      </c>
      <c r="L40" s="10" t="s">
        <v>205</v>
      </c>
      <c r="M40" s="10" t="s">
        <v>154</v>
      </c>
      <c r="N40" s="12" t="s">
        <v>310</v>
      </c>
      <c r="O40" s="10" t="s">
        <v>156</v>
      </c>
      <c r="P40" s="137" t="s">
        <v>311</v>
      </c>
      <c r="Q40" s="10" t="s">
        <v>312</v>
      </c>
      <c r="R40" s="10" t="s">
        <v>205</v>
      </c>
      <c r="S40" s="10" t="s">
        <v>159</v>
      </c>
      <c r="T40" s="2" t="str">
        <f t="shared" si="4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5">
      <c r="A41" s="12" t="s">
        <v>226</v>
      </c>
      <c r="B41" s="10" t="s">
        <v>189</v>
      </c>
      <c r="C41" s="97">
        <f t="shared" si="2"/>
        <v>0.31874999999999998</v>
      </c>
      <c r="D41" s="10">
        <v>306</v>
      </c>
      <c r="E41" s="98">
        <f>IFERROR((D41*6),"?")</f>
        <v>1836</v>
      </c>
      <c r="F41" s="99"/>
      <c r="G41" s="10" t="s">
        <v>313</v>
      </c>
      <c r="H41" s="100">
        <v>45975</v>
      </c>
      <c r="I41" s="101">
        <v>45975</v>
      </c>
      <c r="J41" s="10" t="s">
        <v>309</v>
      </c>
      <c r="K41" s="10" t="s">
        <v>223</v>
      </c>
      <c r="L41" s="10" t="s">
        <v>205</v>
      </c>
      <c r="M41" s="10" t="s">
        <v>154</v>
      </c>
      <c r="N41" s="12" t="s">
        <v>310</v>
      </c>
      <c r="O41" s="10" t="s">
        <v>156</v>
      </c>
      <c r="P41" s="137" t="s">
        <v>311</v>
      </c>
      <c r="Q41" s="10" t="s">
        <v>312</v>
      </c>
      <c r="R41" s="10" t="s">
        <v>205</v>
      </c>
      <c r="S41" s="10" t="s">
        <v>159</v>
      </c>
      <c r="T41" s="2" t="str">
        <f t="shared" si="4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2" spans="1:21" ht="14.45">
      <c r="A42" s="12" t="s">
        <v>226</v>
      </c>
      <c r="B42" s="10" t="s">
        <v>314</v>
      </c>
      <c r="C42" s="97">
        <f t="shared" si="2"/>
        <v>0.49791666666666667</v>
      </c>
      <c r="D42" s="10">
        <v>478</v>
      </c>
      <c r="E42" s="98"/>
      <c r="F42" s="99">
        <v>1600</v>
      </c>
      <c r="G42" s="10" t="s">
        <v>315</v>
      </c>
      <c r="H42" s="100">
        <v>45975</v>
      </c>
      <c r="I42" s="101">
        <v>45975</v>
      </c>
      <c r="J42" s="10" t="s">
        <v>309</v>
      </c>
      <c r="K42" s="10" t="s">
        <v>223</v>
      </c>
      <c r="L42" s="10" t="s">
        <v>153</v>
      </c>
      <c r="M42" s="10" t="s">
        <v>154</v>
      </c>
      <c r="N42" s="12" t="s">
        <v>310</v>
      </c>
      <c r="O42" s="10" t="s">
        <v>156</v>
      </c>
      <c r="P42" s="137" t="s">
        <v>311</v>
      </c>
      <c r="Q42" s="10" t="s">
        <v>312</v>
      </c>
      <c r="R42" s="10" t="s">
        <v>205</v>
      </c>
      <c r="S42" s="10" t="s">
        <v>179</v>
      </c>
      <c r="T42" s="2" t="str">
        <f t="shared" si="4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226</v>
      </c>
      <c r="B43" s="10" t="s">
        <v>314</v>
      </c>
      <c r="C43" s="97">
        <f t="shared" si="2"/>
        <v>0.49791666666666667</v>
      </c>
      <c r="D43" s="10">
        <v>478</v>
      </c>
      <c r="E43" s="98"/>
      <c r="F43" s="99">
        <v>3800</v>
      </c>
      <c r="G43" s="10" t="s">
        <v>316</v>
      </c>
      <c r="H43" s="100">
        <v>45975</v>
      </c>
      <c r="I43" s="101">
        <v>45975</v>
      </c>
      <c r="J43" s="10" t="s">
        <v>309</v>
      </c>
      <c r="K43" s="10" t="s">
        <v>223</v>
      </c>
      <c r="L43" s="10" t="s">
        <v>153</v>
      </c>
      <c r="M43" s="10" t="s">
        <v>154</v>
      </c>
      <c r="N43" s="12" t="s">
        <v>310</v>
      </c>
      <c r="O43" s="10" t="s">
        <v>156</v>
      </c>
      <c r="P43" s="137" t="s">
        <v>311</v>
      </c>
      <c r="Q43" s="10" t="s">
        <v>312</v>
      </c>
      <c r="R43" s="10" t="s">
        <v>205</v>
      </c>
      <c r="S43" s="10" t="s">
        <v>182</v>
      </c>
      <c r="T43" s="2" t="str">
        <f t="shared" si="4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4" spans="1:21" ht="14.45">
      <c r="A44" s="12" t="s">
        <v>226</v>
      </c>
      <c r="B44" s="10" t="s">
        <v>189</v>
      </c>
      <c r="C44" s="97">
        <f t="shared" si="2"/>
        <v>0.31874999999999998</v>
      </c>
      <c r="D44" s="10">
        <v>306</v>
      </c>
      <c r="E44" s="98">
        <f>IFERROR((D44*6),"?")</f>
        <v>1836</v>
      </c>
      <c r="F44" s="99"/>
      <c r="G44" s="10" t="s">
        <v>308</v>
      </c>
      <c r="H44" s="100">
        <v>45978</v>
      </c>
      <c r="I44" s="101">
        <v>45978</v>
      </c>
      <c r="J44" s="139" t="s">
        <v>317</v>
      </c>
      <c r="K44" s="10" t="s">
        <v>223</v>
      </c>
      <c r="L44" s="10" t="s">
        <v>205</v>
      </c>
      <c r="M44" s="10" t="s">
        <v>154</v>
      </c>
      <c r="N44" s="12" t="s">
        <v>310</v>
      </c>
      <c r="O44" s="10" t="s">
        <v>156</v>
      </c>
      <c r="P44" s="102" t="s">
        <v>311</v>
      </c>
      <c r="Q44" s="10" t="s">
        <v>312</v>
      </c>
      <c r="R44" s="10" t="s">
        <v>205</v>
      </c>
      <c r="S44" s="10" t="s">
        <v>159</v>
      </c>
      <c r="T44" s="2" t="str">
        <f t="shared" si="4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 ht="14.45">
      <c r="A45" s="12" t="s">
        <v>226</v>
      </c>
      <c r="B45" s="10" t="s">
        <v>189</v>
      </c>
      <c r="C45" s="97">
        <f t="shared" si="2"/>
        <v>0.31874999999999998</v>
      </c>
      <c r="D45" s="10">
        <v>306</v>
      </c>
      <c r="E45" s="98">
        <f>IFERROR((D45*6),"?")</f>
        <v>1836</v>
      </c>
      <c r="F45" s="99"/>
      <c r="G45" s="10" t="s">
        <v>313</v>
      </c>
      <c r="H45" s="100">
        <v>45978</v>
      </c>
      <c r="I45" s="101">
        <v>45978</v>
      </c>
      <c r="J45" s="139" t="s">
        <v>317</v>
      </c>
      <c r="K45" s="10" t="s">
        <v>223</v>
      </c>
      <c r="L45" s="10" t="s">
        <v>205</v>
      </c>
      <c r="M45" s="10" t="s">
        <v>154</v>
      </c>
      <c r="N45" s="12" t="s">
        <v>310</v>
      </c>
      <c r="O45" s="10" t="s">
        <v>156</v>
      </c>
      <c r="P45" s="102" t="s">
        <v>311</v>
      </c>
      <c r="Q45" s="10" t="s">
        <v>312</v>
      </c>
      <c r="R45" s="10" t="s">
        <v>205</v>
      </c>
      <c r="S45" s="10" t="s">
        <v>159</v>
      </c>
      <c r="T45" s="151" t="str">
        <f t="shared" si="4"/>
        <v>5080E</v>
      </c>
      <c r="U45" s="151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6" spans="1:21" ht="14.45">
      <c r="A46" s="12" t="s">
        <v>226</v>
      </c>
      <c r="B46" s="10" t="s">
        <v>189</v>
      </c>
      <c r="C46" s="97">
        <f t="shared" si="2"/>
        <v>0.20833333333333334</v>
      </c>
      <c r="D46" s="10">
        <v>200</v>
      </c>
      <c r="E46" s="98">
        <f>IFERROR((D46*6),"?")</f>
        <v>1200</v>
      </c>
      <c r="F46" s="99"/>
      <c r="G46" s="10" t="s">
        <v>318</v>
      </c>
      <c r="H46" s="100">
        <v>45979</v>
      </c>
      <c r="I46" s="101">
        <v>45979</v>
      </c>
      <c r="J46" s="10" t="s">
        <v>319</v>
      </c>
      <c r="K46" s="10" t="s">
        <v>223</v>
      </c>
      <c r="L46" s="10" t="s">
        <v>154</v>
      </c>
      <c r="M46" s="10" t="s">
        <v>154</v>
      </c>
      <c r="N46" s="12" t="s">
        <v>320</v>
      </c>
      <c r="O46" s="10"/>
      <c r="P46" s="137" t="s">
        <v>321</v>
      </c>
      <c r="Q46" s="10"/>
      <c r="R46" s="10" t="s">
        <v>205</v>
      </c>
      <c r="S46" s="10" t="s">
        <v>159</v>
      </c>
      <c r="T46" s="2" t="str">
        <f t="shared" si="4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-NF61895 -NF 45979_x000D_
- *Obs:* _x000D_
- *De*: _x000D_
- *Para*: https://maps.app.goo.gl/HAQzMitpSPVxhKFi9_x000D_
- *Ida e volta*: +/- 5:00h | 200km</v>
      </c>
    </row>
    <row r="47" spans="1:21" ht="14.45">
      <c r="A47" s="12" t="s">
        <v>322</v>
      </c>
      <c r="B47" s="10" t="s">
        <v>323</v>
      </c>
      <c r="C47" s="97">
        <f t="shared" si="2"/>
        <v>0.76354166666666667</v>
      </c>
      <c r="D47" s="10">
        <v>733</v>
      </c>
      <c r="E47" s="98"/>
      <c r="F47" s="99">
        <v>9600</v>
      </c>
      <c r="G47" s="10" t="s">
        <v>324</v>
      </c>
      <c r="H47" s="100">
        <v>45979</v>
      </c>
      <c r="I47" s="101">
        <v>45979</v>
      </c>
      <c r="J47" s="10" t="s">
        <v>325</v>
      </c>
      <c r="K47" s="10" t="s">
        <v>171</v>
      </c>
      <c r="L47" s="10" t="s">
        <v>172</v>
      </c>
      <c r="M47" s="10" t="s">
        <v>154</v>
      </c>
      <c r="N47" s="12" t="s">
        <v>155</v>
      </c>
      <c r="O47" s="10" t="s">
        <v>156</v>
      </c>
      <c r="P47" s="138" t="s">
        <v>326</v>
      </c>
      <c r="Q47" s="10" t="s">
        <v>327</v>
      </c>
      <c r="R47" s="10" t="s">
        <v>172</v>
      </c>
      <c r="S47" s="10" t="s">
        <v>196</v>
      </c>
      <c r="T47" s="2" t="str">
        <f t="shared" si="4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PULVERIZADOR: *1NW4030MES0250870*_x000D_
- A:3,35 x C:7,50 x L:3,12-3,94 x P:10.000kg_x000D_
- *Cliente*: VIKTOR LEH -NF107863 - AET ESP+ESCOLTA -NF 45979_x000D_
- *Obs:* Viktor _x000D_
- *De*: MACPONTA AGRO DE GUARAPUAVA_x000D_
- *Para*: https://maps.app.goo.gl/CR8ypB1Pd9ZCuWzE6_x000D_
- *Ida e volta*: +/- 18:19h | 733km</v>
      </c>
    </row>
    <row r="48" spans="1:21" ht="14.45">
      <c r="A48" s="12" t="s">
        <v>328</v>
      </c>
      <c r="B48" s="10" t="s">
        <v>284</v>
      </c>
      <c r="C48" s="97">
        <f t="shared" si="2"/>
        <v>0.19479166666666667</v>
      </c>
      <c r="D48" s="10">
        <v>187</v>
      </c>
      <c r="E48" s="98"/>
      <c r="F48" s="99">
        <v>2000</v>
      </c>
      <c r="G48" s="10" t="s">
        <v>329</v>
      </c>
      <c r="H48" s="100">
        <v>45979</v>
      </c>
      <c r="I48" s="101">
        <v>45979</v>
      </c>
      <c r="J48" s="10" t="s">
        <v>319</v>
      </c>
      <c r="K48" s="10" t="s">
        <v>223</v>
      </c>
      <c r="L48" s="10" t="s">
        <v>205</v>
      </c>
      <c r="M48" s="10" t="s">
        <v>154</v>
      </c>
      <c r="N48" s="12" t="s">
        <v>165</v>
      </c>
      <c r="O48" s="10" t="s">
        <v>156</v>
      </c>
      <c r="P48" s="137" t="s">
        <v>321</v>
      </c>
      <c r="Q48" s="10"/>
      <c r="R48" s="10" t="s">
        <v>205</v>
      </c>
      <c r="S48" s="10" t="s">
        <v>330</v>
      </c>
      <c r="T48" s="2" t="str">
        <f t="shared" si="4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_x000D_
- *De*: MACPONTA AGRO DE ARAPOTI_x000D_
- *Para*: https://maps.app.goo.gl/HAQzMitpSPVxhKFi9_x000D_
- *Ida e volta*: +/- 4:40h | 187km</v>
      </c>
    </row>
    <row r="49" spans="1:21" ht="14.45">
      <c r="A49" s="12" t="s">
        <v>331</v>
      </c>
      <c r="B49" s="10" t="s">
        <v>284</v>
      </c>
      <c r="C49" s="97">
        <f t="shared" si="2"/>
        <v>0.49791666666666667</v>
      </c>
      <c r="D49" s="10">
        <v>478</v>
      </c>
      <c r="E49" s="98"/>
      <c r="F49" s="99">
        <v>300</v>
      </c>
      <c r="G49" s="10" t="s">
        <v>315</v>
      </c>
      <c r="H49" s="100">
        <v>45979</v>
      </c>
      <c r="I49" s="101"/>
      <c r="J49" s="139" t="s">
        <v>317</v>
      </c>
      <c r="K49" s="10" t="s">
        <v>223</v>
      </c>
      <c r="L49" s="10" t="s">
        <v>153</v>
      </c>
      <c r="M49" s="10" t="s">
        <v>154</v>
      </c>
      <c r="N49" s="12" t="s">
        <v>310</v>
      </c>
      <c r="O49" s="10" t="s">
        <v>156</v>
      </c>
      <c r="P49" s="102" t="s">
        <v>311</v>
      </c>
      <c r="Q49" s="10" t="s">
        <v>312</v>
      </c>
      <c r="R49" s="10" t="s">
        <v>205</v>
      </c>
      <c r="S49" s="10" t="s">
        <v>179</v>
      </c>
      <c r="T49" s="2" t="str">
        <f t="shared" si="4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 ht="14.45">
      <c r="A50" s="12" t="s">
        <v>331</v>
      </c>
      <c r="B50" s="10" t="s">
        <v>284</v>
      </c>
      <c r="C50" s="97">
        <f t="shared" si="2"/>
        <v>0.49791666666666667</v>
      </c>
      <c r="D50" s="10">
        <v>478</v>
      </c>
      <c r="E50" s="98"/>
      <c r="F50" s="99">
        <v>900</v>
      </c>
      <c r="G50" s="10" t="s">
        <v>316</v>
      </c>
      <c r="H50" s="100">
        <v>45979</v>
      </c>
      <c r="I50" s="101"/>
      <c r="J50" s="139" t="s">
        <v>317</v>
      </c>
      <c r="K50" s="10" t="s">
        <v>223</v>
      </c>
      <c r="L50" s="10" t="s">
        <v>153</v>
      </c>
      <c r="M50" s="10" t="s">
        <v>154</v>
      </c>
      <c r="N50" s="12" t="s">
        <v>310</v>
      </c>
      <c r="O50" s="10" t="s">
        <v>156</v>
      </c>
      <c r="P50" s="102" t="s">
        <v>311</v>
      </c>
      <c r="Q50" s="10" t="s">
        <v>312</v>
      </c>
      <c r="R50" s="10" t="s">
        <v>205</v>
      </c>
      <c r="S50" s="10" t="s">
        <v>182</v>
      </c>
      <c r="T50" s="2" t="str">
        <f t="shared" ref="T50:T52" si="5">IF(
  OR(
    IFERROR(FIND("BM",G50),0)&gt;0,
    IFERROR(FIND("PY",G50),0)&gt;0
  ),
  MID(TRIM(SUBSTITUTE(SUBSTITUTE(G50,CHAR(160),""),CHAR(9),"")),4,5),
  MID(TRIM(SUBSTITUTE(SUBSTITUTE(G50,CHAR(160),""),CHAR(9),"")),4,4)
)</f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1" spans="1:21" ht="14.45">
      <c r="A51" s="12" t="s">
        <v>332</v>
      </c>
      <c r="B51" s="10" t="s">
        <v>284</v>
      </c>
      <c r="C51" s="97">
        <f t="shared" si="2"/>
        <v>2.2916666666666665E-2</v>
      </c>
      <c r="D51" s="10">
        <v>22</v>
      </c>
      <c r="E51" s="98"/>
      <c r="F51" s="99">
        <v>400</v>
      </c>
      <c r="G51" s="10" t="s">
        <v>333</v>
      </c>
      <c r="H51" s="100">
        <v>45980</v>
      </c>
      <c r="I51" s="101"/>
      <c r="J51" s="10" t="s">
        <v>334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335</v>
      </c>
      <c r="Q51" s="10" t="s">
        <v>336</v>
      </c>
      <c r="R51" s="10" t="s">
        <v>205</v>
      </c>
      <c r="S51" s="10" t="s">
        <v>179</v>
      </c>
      <c r="T51" s="151" t="str">
        <f t="shared" si="5"/>
        <v>RD30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 ht="14.45">
      <c r="A52" s="12" t="s">
        <v>332</v>
      </c>
      <c r="B52" s="10" t="s">
        <v>284</v>
      </c>
      <c r="C52" s="97">
        <f t="shared" si="2"/>
        <v>2.2916666666666665E-2</v>
      </c>
      <c r="D52" s="10">
        <v>22</v>
      </c>
      <c r="E52" s="98"/>
      <c r="F52" s="99">
        <v>800</v>
      </c>
      <c r="G52" s="10" t="s">
        <v>337</v>
      </c>
      <c r="H52" s="100">
        <v>45980</v>
      </c>
      <c r="I52" s="101"/>
      <c r="J52" s="10" t="s">
        <v>334</v>
      </c>
      <c r="K52" s="10" t="s">
        <v>223</v>
      </c>
      <c r="L52" s="10" t="s">
        <v>205</v>
      </c>
      <c r="M52" s="10" t="s">
        <v>154</v>
      </c>
      <c r="N52" s="12" t="s">
        <v>155</v>
      </c>
      <c r="O52" s="10" t="s">
        <v>156</v>
      </c>
      <c r="P52" s="138" t="s">
        <v>335</v>
      </c>
      <c r="Q52" s="10" t="s">
        <v>336</v>
      </c>
      <c r="R52" s="10" t="s">
        <v>205</v>
      </c>
      <c r="S52" s="10" t="s">
        <v>182</v>
      </c>
      <c r="T52" s="151" t="str">
        <f t="shared" si="5"/>
        <v>S550</v>
      </c>
      <c r="U52" s="151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3" spans="1:21" ht="14.45">
      <c r="A53" s="12" t="s">
        <v>332</v>
      </c>
      <c r="B53" s="10" t="s">
        <v>284</v>
      </c>
      <c r="C53" s="97">
        <f t="shared" si="2"/>
        <v>2.2916666666666665E-2</v>
      </c>
      <c r="D53" s="10">
        <v>22</v>
      </c>
      <c r="E53" s="98"/>
      <c r="F53" s="99">
        <v>300</v>
      </c>
      <c r="G53" s="10" t="s">
        <v>338</v>
      </c>
      <c r="H53" s="100">
        <v>45980</v>
      </c>
      <c r="I53" s="101"/>
      <c r="J53" s="10" t="s">
        <v>339</v>
      </c>
      <c r="K53" s="10" t="s">
        <v>223</v>
      </c>
      <c r="L53" s="10" t="s">
        <v>154</v>
      </c>
      <c r="M53" s="10" t="s">
        <v>205</v>
      </c>
      <c r="N53" s="12" t="s">
        <v>165</v>
      </c>
      <c r="O53" s="10" t="s">
        <v>335</v>
      </c>
      <c r="P53" s="12" t="s">
        <v>156</v>
      </c>
      <c r="Q53" s="10" t="s">
        <v>340</v>
      </c>
      <c r="R53" s="10" t="s">
        <v>205</v>
      </c>
      <c r="S53" s="10" t="s">
        <v>341</v>
      </c>
      <c r="T53" s="2" t="str">
        <f t="shared" ref="T53" si="6">IF(
  OR(
    IFERROR(FIND("BM",G53),0)&gt;0,
    IFERROR(FIND("PY",G53),0)&gt;0
  ),
  MID(TRIM(SUBSTITUTE(SUBSTITUTE(G53,CHAR(160),""),CHAR(9),"")),4,5),
  MID(TRIM(SUBSTITUTE(SUBSTITUTE(G53,CHAR(160),""),CHAR(9),"")),4,4)
)</f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 ht="14.45">
      <c r="A54" s="12" t="s">
        <v>332</v>
      </c>
      <c r="B54" s="10" t="s">
        <v>284</v>
      </c>
      <c r="C54" s="97">
        <f t="shared" si="2"/>
        <v>2.2916666666666665E-2</v>
      </c>
      <c r="D54" s="10">
        <v>22</v>
      </c>
      <c r="E54" s="98"/>
      <c r="F54" s="99">
        <v>300</v>
      </c>
      <c r="G54" s="10" t="s">
        <v>342</v>
      </c>
      <c r="H54" s="100">
        <v>45980</v>
      </c>
      <c r="I54" s="101"/>
      <c r="J54" s="10" t="s">
        <v>343</v>
      </c>
      <c r="K54" s="10" t="s">
        <v>223</v>
      </c>
      <c r="L54" s="10" t="s">
        <v>205</v>
      </c>
      <c r="M54" s="10" t="s">
        <v>154</v>
      </c>
      <c r="N54" s="12" t="s">
        <v>155</v>
      </c>
      <c r="O54" s="10" t="s">
        <v>156</v>
      </c>
      <c r="P54" s="138" t="s">
        <v>335</v>
      </c>
      <c r="Q54" s="10" t="s">
        <v>344</v>
      </c>
      <c r="R54" s="10" t="s">
        <v>205</v>
      </c>
      <c r="S54" s="10" t="s">
        <v>341</v>
      </c>
      <c r="T54" s="2" t="str">
        <f t="shared" ref="T54" si="7">IF(
  OR(
    IFERROR(FIND("BM",G54),0)&gt;0,
    IFERROR(FIND("PY",G54),0)&gt;0
  ),
  MID(TRIM(SUBSTITUTE(SUBSTITUTE(G54,CHAR(160),""),CHAR(9),"")),4,5),
  MID(TRIM(SUBSTITUTE(SUBSTITUTE(G54,CHAR(160),""),CHAR(9),"")),4,4)
)</f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5" spans="1:21" ht="14.45">
      <c r="A55" s="12" t="s">
        <v>332</v>
      </c>
      <c r="B55" s="10" t="s">
        <v>284</v>
      </c>
      <c r="C55" s="97">
        <f t="shared" si="2"/>
        <v>2.2916666666666665E-2</v>
      </c>
      <c r="D55" s="10">
        <v>22</v>
      </c>
      <c r="E55" s="98"/>
      <c r="F55" s="99">
        <v>800</v>
      </c>
      <c r="G55" s="10" t="s">
        <v>345</v>
      </c>
      <c r="H55" s="100">
        <v>45980</v>
      </c>
      <c r="I55" s="101"/>
      <c r="J55" s="10" t="s">
        <v>339</v>
      </c>
      <c r="K55" s="10" t="s">
        <v>223</v>
      </c>
      <c r="L55" s="10" t="s">
        <v>154</v>
      </c>
      <c r="M55" s="10" t="s">
        <v>205</v>
      </c>
      <c r="N55" s="12" t="s">
        <v>165</v>
      </c>
      <c r="O55" s="140" t="s">
        <v>335</v>
      </c>
      <c r="P55" s="12" t="s">
        <v>156</v>
      </c>
      <c r="Q55" s="10" t="s">
        <v>340</v>
      </c>
      <c r="R55" s="10" t="s">
        <v>205</v>
      </c>
      <c r="S55" s="10" t="s">
        <v>182</v>
      </c>
      <c r="T55" s="2" t="str">
        <f t="shared" ref="T55:T86" si="8">IF(
  OR(
    IFERROR(FIND("BM",G55),0)&gt;0,
    IFERROR(FIND("PY",G55),0)&gt;0
  ),
  MID(TRIM(SUBSTITUTE(SUBSTITUTE(G55,CHAR(160),""),CHAR(9),"")),4,5),
  MID(TRIM(SUBSTITUTE(SUBSTITUTE(G55,CHAR(160),""),CHAR(9),"")),4,4)
)</f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 ht="14.45">
      <c r="A56" s="12" t="s">
        <v>332</v>
      </c>
      <c r="B56" s="10" t="s">
        <v>284</v>
      </c>
      <c r="C56" s="97">
        <f t="shared" si="2"/>
        <v>2.2916666666666665E-2</v>
      </c>
      <c r="D56" s="10">
        <v>22</v>
      </c>
      <c r="E56" s="98"/>
      <c r="F56" s="99">
        <v>400</v>
      </c>
      <c r="G56" s="10" t="s">
        <v>346</v>
      </c>
      <c r="H56" s="100">
        <v>45980</v>
      </c>
      <c r="I56" s="101"/>
      <c r="J56" s="10" t="s">
        <v>339</v>
      </c>
      <c r="K56" s="10" t="s">
        <v>223</v>
      </c>
      <c r="L56" s="10" t="s">
        <v>154</v>
      </c>
      <c r="M56" s="10" t="s">
        <v>205</v>
      </c>
      <c r="N56" s="12" t="s">
        <v>165</v>
      </c>
      <c r="O56" s="140" t="s">
        <v>335</v>
      </c>
      <c r="P56" s="12" t="s">
        <v>156</v>
      </c>
      <c r="Q56" s="10" t="s">
        <v>340</v>
      </c>
      <c r="R56" s="10" t="s">
        <v>205</v>
      </c>
      <c r="S56" s="10" t="s">
        <v>179</v>
      </c>
      <c r="T56" s="2" t="str">
        <f t="shared" si="8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7" spans="1:21" ht="14.45">
      <c r="A57" s="12" t="s">
        <v>332</v>
      </c>
      <c r="B57" s="10" t="s">
        <v>168</v>
      </c>
      <c r="C57" s="97">
        <f t="shared" si="2"/>
        <v>0.22916666666666666</v>
      </c>
      <c r="D57" s="10">
        <v>220</v>
      </c>
      <c r="E57" s="98"/>
      <c r="F57" s="99"/>
      <c r="G57" s="10" t="s">
        <v>347</v>
      </c>
      <c r="H57" s="100">
        <v>45980</v>
      </c>
      <c r="I57" s="101"/>
      <c r="J57" s="10" t="s">
        <v>348</v>
      </c>
      <c r="K57" s="10" t="s">
        <v>171</v>
      </c>
      <c r="L57" s="10" t="s">
        <v>172</v>
      </c>
      <c r="M57" s="10" t="s">
        <v>154</v>
      </c>
      <c r="N57" s="12" t="s">
        <v>155</v>
      </c>
      <c r="O57" s="10" t="s">
        <v>156</v>
      </c>
      <c r="P57" s="12" t="s">
        <v>349</v>
      </c>
      <c r="Q57" s="10" t="s">
        <v>350</v>
      </c>
      <c r="R57" s="10" t="s">
        <v>172</v>
      </c>
      <c r="S57" s="10" t="s">
        <v>159</v>
      </c>
      <c r="T57" s="2" t="str">
        <f t="shared" si="8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_x000D_
- *Cliente*: PATRICIA H O HASEGAWA -NF106525_x000D_
- *Obs:* Patricia_x000D_
- *De*: MACPONTA AGRO DE GUARAPUAVA_x000D_
- *Para*: https://maps.app.goo.gl/sUh1AADFcu4n8yPE8?g_st=iw_x000D_
- *Ida e volta*: +/- 5:30h | 220km</v>
      </c>
    </row>
    <row r="58" spans="1:21" ht="14.45">
      <c r="A58" s="12" t="s">
        <v>332</v>
      </c>
      <c r="B58" s="10" t="s">
        <v>168</v>
      </c>
      <c r="C58" s="97">
        <f t="shared" si="2"/>
        <v>9.375E-2</v>
      </c>
      <c r="D58" s="10">
        <v>90</v>
      </c>
      <c r="E58" s="98"/>
      <c r="F58" s="99"/>
      <c r="G58" s="10" t="s">
        <v>351</v>
      </c>
      <c r="H58" s="100">
        <v>45980</v>
      </c>
      <c r="I58" s="101"/>
      <c r="J58" s="10" t="s">
        <v>352</v>
      </c>
      <c r="K58" s="10" t="s">
        <v>171</v>
      </c>
      <c r="L58" s="10" t="s">
        <v>172</v>
      </c>
      <c r="M58" s="10" t="s">
        <v>154</v>
      </c>
      <c r="N58" s="12" t="s">
        <v>155</v>
      </c>
      <c r="O58" s="10" t="s">
        <v>156</v>
      </c>
      <c r="P58" s="12" t="s">
        <v>353</v>
      </c>
      <c r="Q58" s="10" t="s">
        <v>354</v>
      </c>
      <c r="R58" s="10" t="s">
        <v>172</v>
      </c>
      <c r="S58" s="10" t="s">
        <v>159</v>
      </c>
      <c r="T58" s="2" t="str">
        <f t="shared" si="8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_x000D_
- *Cliente*: BRUNNO F VIOMAR -NF 107324_x000D_
- *Obs:* Bruno_x000D_
- *De*: MACPONTA AGRO DE GUARAPUAVA_x000D_
- *Para*: https://maps.app.goo.gl/dMP2u2euHz5GQfGg7_x000D_
- *Ida e volta*: +/- 2:15h | 90km</v>
      </c>
    </row>
    <row r="59" spans="1:21" ht="14.45">
      <c r="A59" s="12" t="s">
        <v>332</v>
      </c>
      <c r="B59" s="10" t="s">
        <v>168</v>
      </c>
      <c r="C59" s="97">
        <f t="shared" si="2"/>
        <v>0.12708333333333333</v>
      </c>
      <c r="D59" s="10">
        <v>122</v>
      </c>
      <c r="E59" s="98"/>
      <c r="F59" s="99"/>
      <c r="G59" s="10" t="s">
        <v>355</v>
      </c>
      <c r="H59" s="100">
        <v>45980</v>
      </c>
      <c r="I59" s="101"/>
      <c r="J59" s="10" t="s">
        <v>356</v>
      </c>
      <c r="K59" s="10" t="s">
        <v>171</v>
      </c>
      <c r="L59" s="10" t="s">
        <v>172</v>
      </c>
      <c r="M59" s="10" t="s">
        <v>154</v>
      </c>
      <c r="N59" s="12" t="s">
        <v>155</v>
      </c>
      <c r="O59" s="10" t="s">
        <v>156</v>
      </c>
      <c r="P59" s="12" t="s">
        <v>357</v>
      </c>
      <c r="Q59" s="10" t="s">
        <v>358</v>
      </c>
      <c r="R59" s="10" t="s">
        <v>172</v>
      </c>
      <c r="S59" s="10" t="s">
        <v>182</v>
      </c>
      <c r="T59" s="2" t="str">
        <f t="shared" si="8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: *Y8C525126*_x000D_
- _x000D_
- *Cliente*: ANDRE MUZZOLON TURCO -NF10833_x000D_
- *Obs:* Andre_x000D_
- *De*: MACPONTA AGRO DE GUARAPUAVA_x000D_
- *Para*: https://maps.app.goo.gl/k8sSRQfK1xFP8eN89_x000D_
- *Ida e volta*: +/- 3:03h | 122km</v>
      </c>
    </row>
    <row r="60" spans="1:21" ht="14.45">
      <c r="A60" s="12" t="s">
        <v>332</v>
      </c>
      <c r="B60" s="10" t="s">
        <v>149</v>
      </c>
      <c r="C60" s="97">
        <f t="shared" si="2"/>
        <v>0.14583333333333334</v>
      </c>
      <c r="D60" s="10">
        <v>140</v>
      </c>
      <c r="E60" s="98"/>
      <c r="F60" s="99">
        <v>550</v>
      </c>
      <c r="G60" s="10" t="s">
        <v>359</v>
      </c>
      <c r="H60" s="100">
        <v>45980</v>
      </c>
      <c r="I60" s="101"/>
      <c r="J60" s="10" t="s">
        <v>360</v>
      </c>
      <c r="K60" s="10" t="s">
        <v>234</v>
      </c>
      <c r="L60" s="10" t="s">
        <v>153</v>
      </c>
      <c r="M60" s="10" t="s">
        <v>154</v>
      </c>
      <c r="N60" s="12" t="s">
        <v>155</v>
      </c>
      <c r="O60" s="10" t="s">
        <v>156</v>
      </c>
      <c r="P60" s="12" t="s">
        <v>361</v>
      </c>
      <c r="Q60" s="10" t="s">
        <v>362</v>
      </c>
      <c r="R60" s="10" t="s">
        <v>289</v>
      </c>
      <c r="S60" s="10" t="s">
        <v>159</v>
      </c>
      <c r="T60" s="2" t="str">
        <f t="shared" si="8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_x000D_
- *Cliente*: OSMAR DIATCZUK -NF 30883_x000D_
- *Obs:* Osmar (42) 99908-3514_x000D_
- *De*: MACPONTA AGRO DE IRATI_x000D_
- *Para*: https://maps.google.com/maps?q=-25.1189094%2C-51.0372015&amp;z=17&amp;hl=pt-BR_x000D_
- *Ida e volta*: +/- 3:30h | 140km</v>
      </c>
    </row>
    <row r="61" spans="1:21" ht="14.45">
      <c r="A61" s="12" t="s">
        <v>331</v>
      </c>
      <c r="B61" s="10" t="s">
        <v>189</v>
      </c>
      <c r="C61" s="97">
        <f t="shared" si="2"/>
        <v>5.8333333333333334E-2</v>
      </c>
      <c r="D61" s="10">
        <v>56</v>
      </c>
      <c r="E61" s="98">
        <f>IFERROR((D61*6),"?")</f>
        <v>336</v>
      </c>
      <c r="F61" s="99"/>
      <c r="G61" s="10" t="s">
        <v>363</v>
      </c>
      <c r="H61" s="100">
        <v>45980</v>
      </c>
      <c r="I61" s="101"/>
      <c r="J61" s="10" t="s">
        <v>364</v>
      </c>
      <c r="K61" s="10" t="s">
        <v>365</v>
      </c>
      <c r="L61" s="10" t="s">
        <v>193</v>
      </c>
      <c r="M61" s="10" t="s">
        <v>154</v>
      </c>
      <c r="N61" s="12" t="s">
        <v>310</v>
      </c>
      <c r="O61" s="10" t="s">
        <v>156</v>
      </c>
      <c r="P61" s="138" t="s">
        <v>366</v>
      </c>
      <c r="Q61" s="10" t="s">
        <v>367</v>
      </c>
      <c r="R61" s="10" t="s">
        <v>193</v>
      </c>
      <c r="S61" s="10" t="s">
        <v>159</v>
      </c>
      <c r="T61" s="2" t="str">
        <f t="shared" si="8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2" spans="1:21" ht="14.45">
      <c r="A62" s="12" t="s">
        <v>331</v>
      </c>
      <c r="B62" s="10" t="s">
        <v>189</v>
      </c>
      <c r="C62" s="97">
        <f t="shared" si="2"/>
        <v>5.8333333333333334E-2</v>
      </c>
      <c r="D62" s="10">
        <v>56</v>
      </c>
      <c r="E62" s="98">
        <f>IFERROR((D62*6),"?")</f>
        <v>336</v>
      </c>
      <c r="F62" s="99"/>
      <c r="G62" s="10" t="s">
        <v>368</v>
      </c>
      <c r="H62" s="100">
        <v>45980</v>
      </c>
      <c r="I62" s="101"/>
      <c r="J62" s="10" t="s">
        <v>364</v>
      </c>
      <c r="K62" s="10" t="s">
        <v>365</v>
      </c>
      <c r="L62" s="10" t="s">
        <v>193</v>
      </c>
      <c r="M62" s="10" t="s">
        <v>154</v>
      </c>
      <c r="N62" s="12" t="s">
        <v>310</v>
      </c>
      <c r="O62" s="10" t="s">
        <v>156</v>
      </c>
      <c r="P62" s="138" t="s">
        <v>366</v>
      </c>
      <c r="Q62" s="10" t="s">
        <v>367</v>
      </c>
      <c r="R62" s="10" t="s">
        <v>193</v>
      </c>
      <c r="S62" s="10" t="s">
        <v>159</v>
      </c>
      <c r="T62" s="2" t="str">
        <f t="shared" si="8"/>
        <v>6210M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*1BM6210MPS3001463*_x000D_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3" spans="1:21" ht="14.45">
      <c r="A63" s="12" t="s">
        <v>369</v>
      </c>
      <c r="B63" s="10" t="s">
        <v>370</v>
      </c>
      <c r="C63" s="97">
        <f t="shared" si="2"/>
        <v>0.15625</v>
      </c>
      <c r="D63" s="10">
        <v>150</v>
      </c>
      <c r="E63" s="98">
        <v>200</v>
      </c>
      <c r="F63" s="99"/>
      <c r="G63" s="10" t="s">
        <v>227</v>
      </c>
      <c r="H63" s="100">
        <v>45981</v>
      </c>
      <c r="I63" s="101"/>
      <c r="J63" s="139" t="s">
        <v>371</v>
      </c>
      <c r="K63" s="10" t="s">
        <v>199</v>
      </c>
      <c r="L63" s="10" t="s">
        <v>154</v>
      </c>
      <c r="M63" s="10" t="s">
        <v>193</v>
      </c>
      <c r="N63" s="12" t="s">
        <v>165</v>
      </c>
      <c r="O63" s="10" t="s">
        <v>229</v>
      </c>
      <c r="P63" s="138" t="s">
        <v>156</v>
      </c>
      <c r="Q63" s="10" t="s">
        <v>230</v>
      </c>
      <c r="R63" s="10" t="s">
        <v>193</v>
      </c>
      <c r="S63" s="10" t="s">
        <v>179</v>
      </c>
      <c r="T63" s="2" t="str">
        <f t="shared" si="8"/>
        <v>0630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 ht="14.45">
      <c r="A64" s="12" t="s">
        <v>369</v>
      </c>
      <c r="B64" s="10" t="s">
        <v>370</v>
      </c>
      <c r="C64" s="97">
        <f t="shared" si="2"/>
        <v>0.15625</v>
      </c>
      <c r="D64" s="10">
        <v>150</v>
      </c>
      <c r="E64" s="98">
        <v>800</v>
      </c>
      <c r="F64" s="99"/>
      <c r="G64" s="10" t="s">
        <v>231</v>
      </c>
      <c r="H64" s="100">
        <v>45981</v>
      </c>
      <c r="I64" s="101"/>
      <c r="J64" s="139" t="s">
        <v>371</v>
      </c>
      <c r="K64" s="10" t="s">
        <v>199</v>
      </c>
      <c r="L64" s="10" t="s">
        <v>154</v>
      </c>
      <c r="M64" s="10" t="s">
        <v>193</v>
      </c>
      <c r="N64" s="12" t="s">
        <v>165</v>
      </c>
      <c r="O64" s="10" t="s">
        <v>229</v>
      </c>
      <c r="P64" s="138" t="s">
        <v>156</v>
      </c>
      <c r="Q64" s="10" t="s">
        <v>230</v>
      </c>
      <c r="R64" s="10" t="s">
        <v>193</v>
      </c>
      <c r="S64" s="10" t="s">
        <v>182</v>
      </c>
      <c r="T64" s="2" t="str">
        <f t="shared" si="8"/>
        <v>S550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5" spans="1:21" ht="14.45">
      <c r="A65" s="12" t="s">
        <v>372</v>
      </c>
      <c r="B65" s="10" t="s">
        <v>370</v>
      </c>
      <c r="C65" s="97">
        <f t="shared" si="2"/>
        <v>0.49479166666666669</v>
      </c>
      <c r="D65" s="10">
        <v>475</v>
      </c>
      <c r="E65" s="98">
        <f t="shared" ref="E65:E78" si="9">IFERROR((D65*6),"?")</f>
        <v>2850</v>
      </c>
      <c r="F65" s="99"/>
      <c r="G65" s="10" t="s">
        <v>373</v>
      </c>
      <c r="H65" s="100">
        <v>45982</v>
      </c>
      <c r="I65" s="101"/>
      <c r="J65" s="10" t="s">
        <v>374</v>
      </c>
      <c r="K65" s="10" t="s">
        <v>234</v>
      </c>
      <c r="L65" s="10" t="s">
        <v>172</v>
      </c>
      <c r="M65" s="10" t="s">
        <v>154</v>
      </c>
      <c r="N65" s="12" t="s">
        <v>155</v>
      </c>
      <c r="O65" s="10" t="s">
        <v>156</v>
      </c>
      <c r="P65" s="102" t="s">
        <v>375</v>
      </c>
      <c r="Q65" s="10" t="s">
        <v>376</v>
      </c>
      <c r="R65" s="10" t="s">
        <v>307</v>
      </c>
      <c r="S65" s="10" t="s">
        <v>159</v>
      </c>
      <c r="T65" s="2" t="str">
        <f t="shared" si="8"/>
        <v>6100J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*1BM6100JTSD602559*_x000D_
- _x000D_
- *Cliente*: HAROLDO L R FILHO -NF109957_x000D_
- *Obs:* Haroldo (51)99902-8053_x000D_
- *De*: MACPONTA AGRO DE GUARAPUAVA_x000D_
- *Para*: https://maps.app.goo.gl/SAQGugLBfo1Uqy2XA?g_st=awb_x000D_
- *Ida e volta*: +/- 11:52h | 475km</v>
      </c>
    </row>
    <row r="66" spans="1:21" ht="14.45">
      <c r="A66" s="12" t="s">
        <v>369</v>
      </c>
      <c r="B66" s="10" t="s">
        <v>370</v>
      </c>
      <c r="C66" s="97">
        <f t="shared" ref="C66:C97" si="10">IFERROR((D66*1.5)/1440, "?")</f>
        <v>8.5416666666666669E-2</v>
      </c>
      <c r="D66" s="10">
        <v>82</v>
      </c>
      <c r="E66" s="98">
        <f t="shared" si="9"/>
        <v>492</v>
      </c>
      <c r="F66" s="99"/>
      <c r="G66" s="10" t="s">
        <v>377</v>
      </c>
      <c r="H66" s="100">
        <v>45983</v>
      </c>
      <c r="I66" s="101"/>
      <c r="J66" s="10" t="s">
        <v>378</v>
      </c>
      <c r="K66" s="10" t="s">
        <v>199</v>
      </c>
      <c r="L66" s="10" t="s">
        <v>193</v>
      </c>
      <c r="M66" s="10" t="s">
        <v>154</v>
      </c>
      <c r="N66" s="12" t="s">
        <v>310</v>
      </c>
      <c r="O66" s="10" t="s">
        <v>156</v>
      </c>
      <c r="P66" s="12" t="s">
        <v>379</v>
      </c>
      <c r="Q66" s="10"/>
      <c r="R66" s="10" t="s">
        <v>193</v>
      </c>
      <c r="S66" s="10" t="s">
        <v>159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*1BM5080EPS6204421*_x000D_
- _x000D_
- *Cliente*: NÃO INFORMADO- NÃO TEM NF_x000D_
- *Obs:* _x000D_
- *De*: MACPONTA AGRO DE PONTA GROSSA_x000D_
- *Para*: https://maps.app.goo.gl/BxL47zGps2wAbAig9_x000D_
- *Ida e volta*: +/- 2:03h | 82km</v>
      </c>
    </row>
    <row r="67" spans="1:21" ht="14.45">
      <c r="A67" s="12" t="s">
        <v>369</v>
      </c>
      <c r="B67" s="10" t="s">
        <v>370</v>
      </c>
      <c r="C67" s="97">
        <f t="shared" si="10"/>
        <v>0.15625</v>
      </c>
      <c r="D67" s="10">
        <v>150</v>
      </c>
      <c r="E67" s="98">
        <f t="shared" si="9"/>
        <v>900</v>
      </c>
      <c r="F67" s="99"/>
      <c r="G67" s="10" t="s">
        <v>380</v>
      </c>
      <c r="H67" s="100">
        <v>45985</v>
      </c>
      <c r="I67" s="101"/>
      <c r="J67" s="10" t="s">
        <v>381</v>
      </c>
      <c r="K67" s="10" t="s">
        <v>365</v>
      </c>
      <c r="L67" s="10" t="s">
        <v>193</v>
      </c>
      <c r="M67" s="10" t="s">
        <v>154</v>
      </c>
      <c r="N67" s="12" t="s">
        <v>310</v>
      </c>
      <c r="O67" s="10" t="s">
        <v>156</v>
      </c>
      <c r="P67" s="137" t="s">
        <v>382</v>
      </c>
      <c r="Q67" s="10" t="s">
        <v>383</v>
      </c>
      <c r="R67" s="10" t="s">
        <v>193</v>
      </c>
      <c r="S67" s="10" t="s">
        <v>159</v>
      </c>
      <c r="T67" s="2" t="str">
        <f t="shared" si="8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8" spans="1:21" ht="14.45">
      <c r="A68" s="12" t="s">
        <v>369</v>
      </c>
      <c r="B68" s="10" t="s">
        <v>370</v>
      </c>
      <c r="C68" s="97">
        <f t="shared" si="10"/>
        <v>0.15625</v>
      </c>
      <c r="D68" s="10">
        <v>150</v>
      </c>
      <c r="E68" s="98">
        <f t="shared" si="9"/>
        <v>900</v>
      </c>
      <c r="F68" s="99"/>
      <c r="G68" s="10" t="s">
        <v>384</v>
      </c>
      <c r="H68" s="100">
        <v>45985</v>
      </c>
      <c r="I68" s="101"/>
      <c r="J68" s="10" t="s">
        <v>381</v>
      </c>
      <c r="K68" s="10" t="s">
        <v>365</v>
      </c>
      <c r="L68" s="10" t="s">
        <v>193</v>
      </c>
      <c r="M68" s="10" t="s">
        <v>154</v>
      </c>
      <c r="N68" s="12" t="s">
        <v>310</v>
      </c>
      <c r="O68" s="10" t="s">
        <v>156</v>
      </c>
      <c r="P68" s="137" t="s">
        <v>382</v>
      </c>
      <c r="Q68" s="10" t="s">
        <v>383</v>
      </c>
      <c r="R68" s="10" t="s">
        <v>193</v>
      </c>
      <c r="S68" s="10" t="s">
        <v>159</v>
      </c>
      <c r="T68" s="2" t="str">
        <f t="shared" si="8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9" spans="1:21" ht="14.45">
      <c r="A69" s="12" t="s">
        <v>369</v>
      </c>
      <c r="B69" s="10" t="s">
        <v>370</v>
      </c>
      <c r="C69" s="97">
        <f t="shared" si="10"/>
        <v>0.15625</v>
      </c>
      <c r="D69" s="10">
        <v>150</v>
      </c>
      <c r="E69" s="98">
        <f t="shared" si="9"/>
        <v>900</v>
      </c>
      <c r="F69" s="99"/>
      <c r="G69" s="10" t="s">
        <v>385</v>
      </c>
      <c r="H69" s="100">
        <v>45985</v>
      </c>
      <c r="I69" s="101"/>
      <c r="J69" s="10" t="s">
        <v>381</v>
      </c>
      <c r="K69" s="10" t="s">
        <v>365</v>
      </c>
      <c r="L69" s="10" t="s">
        <v>193</v>
      </c>
      <c r="M69" s="10" t="s">
        <v>154</v>
      </c>
      <c r="N69" s="12" t="s">
        <v>310</v>
      </c>
      <c r="O69" s="10" t="s">
        <v>156</v>
      </c>
      <c r="P69" s="137" t="s">
        <v>382</v>
      </c>
      <c r="Q69" s="10" t="s">
        <v>383</v>
      </c>
      <c r="R69" s="10" t="s">
        <v>193</v>
      </c>
      <c r="S69" s="10" t="s">
        <v>159</v>
      </c>
      <c r="T69" s="2" t="str">
        <f t="shared" si="8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70" spans="1:21" ht="14.45">
      <c r="A70" s="12" t="s">
        <v>369</v>
      </c>
      <c r="B70" s="10" t="s">
        <v>370</v>
      </c>
      <c r="C70" s="97">
        <f t="shared" si="10"/>
        <v>2.6041666666666668E-2</v>
      </c>
      <c r="D70" s="10">
        <v>25</v>
      </c>
      <c r="E70" s="98">
        <f t="shared" si="9"/>
        <v>150</v>
      </c>
      <c r="F70" s="99"/>
      <c r="G70" s="10" t="s">
        <v>363</v>
      </c>
      <c r="H70" s="100">
        <v>45985</v>
      </c>
      <c r="I70" s="101"/>
      <c r="J70" s="139" t="s">
        <v>386</v>
      </c>
      <c r="K70" s="10" t="s">
        <v>365</v>
      </c>
      <c r="L70" s="10" t="s">
        <v>193</v>
      </c>
      <c r="M70" s="10" t="s">
        <v>154</v>
      </c>
      <c r="N70" s="12" t="s">
        <v>310</v>
      </c>
      <c r="O70" s="10" t="s">
        <v>156</v>
      </c>
      <c r="P70" s="137" t="s">
        <v>387</v>
      </c>
      <c r="Q70" s="10" t="s">
        <v>388</v>
      </c>
      <c r="R70" s="10" t="s">
        <v>193</v>
      </c>
      <c r="S70" s="10" t="s">
        <v>159</v>
      </c>
      <c r="T70" s="2" t="str">
        <f t="shared" si="8"/>
        <v>7215C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1" spans="1:21" ht="14.45">
      <c r="A71" s="12" t="s">
        <v>369</v>
      </c>
      <c r="B71" s="10" t="s">
        <v>370</v>
      </c>
      <c r="C71" s="97">
        <f t="shared" si="10"/>
        <v>0.52083333333333337</v>
      </c>
      <c r="D71" s="10">
        <v>500</v>
      </c>
      <c r="E71" s="98">
        <f t="shared" si="9"/>
        <v>3000</v>
      </c>
      <c r="F71" s="99"/>
      <c r="G71" s="10" t="s">
        <v>389</v>
      </c>
      <c r="H71" s="100">
        <v>45985</v>
      </c>
      <c r="I71" s="101"/>
      <c r="J71" s="139" t="s">
        <v>386</v>
      </c>
      <c r="K71" s="10" t="s">
        <v>365</v>
      </c>
      <c r="L71" s="10" t="s">
        <v>193</v>
      </c>
      <c r="M71" s="10" t="s">
        <v>154</v>
      </c>
      <c r="N71" s="12" t="s">
        <v>310</v>
      </c>
      <c r="O71" s="10" t="s">
        <v>156</v>
      </c>
      <c r="P71" s="137" t="s">
        <v>387</v>
      </c>
      <c r="Q71" s="10" t="s">
        <v>388</v>
      </c>
      <c r="R71" s="10" t="s">
        <v>193</v>
      </c>
      <c r="S71" s="10" t="s">
        <v>159</v>
      </c>
      <c r="T71" s="2" t="str">
        <f t="shared" si="8"/>
        <v>7230C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72" spans="1:21" ht="14.45">
      <c r="A72" s="12" t="s">
        <v>369</v>
      </c>
      <c r="B72" s="10" t="s">
        <v>370</v>
      </c>
      <c r="C72" s="97">
        <f t="shared" si="10"/>
        <v>0.20833333333333334</v>
      </c>
      <c r="D72" s="10">
        <v>200</v>
      </c>
      <c r="E72" s="98">
        <f t="shared" si="9"/>
        <v>1200</v>
      </c>
      <c r="F72" s="99"/>
      <c r="G72" s="10" t="s">
        <v>318</v>
      </c>
      <c r="H72" s="100">
        <v>45985</v>
      </c>
      <c r="I72" s="101"/>
      <c r="J72" s="139" t="s">
        <v>390</v>
      </c>
      <c r="K72" s="10" t="s">
        <v>223</v>
      </c>
      <c r="L72" s="10" t="s">
        <v>154</v>
      </c>
      <c r="M72" s="10" t="s">
        <v>154</v>
      </c>
      <c r="N72" s="12" t="s">
        <v>320</v>
      </c>
      <c r="O72" s="10"/>
      <c r="P72" s="137" t="s">
        <v>321</v>
      </c>
      <c r="Q72" s="10"/>
      <c r="R72" s="10" t="s">
        <v>205</v>
      </c>
      <c r="S72" s="10" t="s">
        <v>159</v>
      </c>
      <c r="T72" s="2" t="str">
        <f t="shared" si="8"/>
        <v>7230C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3" spans="1:21" ht="14.45">
      <c r="A73" s="12" t="s">
        <v>369</v>
      </c>
      <c r="B73" s="10" t="s">
        <v>370</v>
      </c>
      <c r="C73" s="97">
        <f t="shared" si="10"/>
        <v>0.19479166666666667</v>
      </c>
      <c r="D73" s="10">
        <v>187</v>
      </c>
      <c r="E73" s="98">
        <f t="shared" si="9"/>
        <v>1122</v>
      </c>
      <c r="F73" s="99"/>
      <c r="G73" s="10" t="s">
        <v>329</v>
      </c>
      <c r="H73" s="100">
        <v>45985</v>
      </c>
      <c r="I73" s="101"/>
      <c r="J73" s="139" t="s">
        <v>390</v>
      </c>
      <c r="K73" s="10" t="s">
        <v>223</v>
      </c>
      <c r="L73" s="10" t="s">
        <v>205</v>
      </c>
      <c r="M73" s="10" t="s">
        <v>154</v>
      </c>
      <c r="N73" s="12" t="s">
        <v>165</v>
      </c>
      <c r="O73" s="10" t="s">
        <v>156</v>
      </c>
      <c r="P73" s="137" t="s">
        <v>321</v>
      </c>
      <c r="Q73" s="10"/>
      <c r="R73" s="10" t="s">
        <v>205</v>
      </c>
      <c r="S73" s="10" t="s">
        <v>330</v>
      </c>
      <c r="T73" s="2" t="str">
        <f t="shared" si="8"/>
        <v>1213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4" spans="1:21" ht="14.45">
      <c r="A74" s="12" t="s">
        <v>369</v>
      </c>
      <c r="B74" s="10" t="s">
        <v>370</v>
      </c>
      <c r="C74" s="97">
        <f t="shared" si="10"/>
        <v>0.15625</v>
      </c>
      <c r="D74" s="10">
        <v>150</v>
      </c>
      <c r="E74" s="98">
        <f t="shared" si="9"/>
        <v>900</v>
      </c>
      <c r="F74" s="99"/>
      <c r="G74" s="10" t="s">
        <v>380</v>
      </c>
      <c r="H74" s="100">
        <v>45986</v>
      </c>
      <c r="I74" s="101"/>
      <c r="J74" s="139" t="s">
        <v>391</v>
      </c>
      <c r="K74" s="10" t="s">
        <v>365</v>
      </c>
      <c r="L74" s="10" t="s">
        <v>193</v>
      </c>
      <c r="M74" s="10" t="s">
        <v>154</v>
      </c>
      <c r="N74" s="12" t="s">
        <v>310</v>
      </c>
      <c r="O74" s="10" t="s">
        <v>156</v>
      </c>
      <c r="P74" s="137" t="s">
        <v>382</v>
      </c>
      <c r="Q74" s="10" t="s">
        <v>383</v>
      </c>
      <c r="R74" s="10" t="s">
        <v>193</v>
      </c>
      <c r="S74" s="10" t="s">
        <v>159</v>
      </c>
      <c r="T74" s="2" t="str">
        <f t="shared" si="8"/>
        <v>5060E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5" spans="1:21" ht="14.45">
      <c r="A75" s="12" t="s">
        <v>369</v>
      </c>
      <c r="B75" s="10" t="s">
        <v>370</v>
      </c>
      <c r="C75" s="97">
        <f t="shared" si="10"/>
        <v>0.15625</v>
      </c>
      <c r="D75" s="10">
        <v>150</v>
      </c>
      <c r="E75" s="98">
        <f t="shared" si="9"/>
        <v>900</v>
      </c>
      <c r="F75" s="99"/>
      <c r="G75" s="10" t="s">
        <v>384</v>
      </c>
      <c r="H75" s="100">
        <v>45986</v>
      </c>
      <c r="I75" s="101"/>
      <c r="J75" s="139" t="s">
        <v>391</v>
      </c>
      <c r="K75" s="10" t="s">
        <v>365</v>
      </c>
      <c r="L75" s="10" t="s">
        <v>193</v>
      </c>
      <c r="M75" s="10" t="s">
        <v>154</v>
      </c>
      <c r="N75" s="12" t="s">
        <v>310</v>
      </c>
      <c r="O75" s="10" t="s">
        <v>156</v>
      </c>
      <c r="P75" s="137" t="s">
        <v>382</v>
      </c>
      <c r="Q75" s="10" t="s">
        <v>383</v>
      </c>
      <c r="R75" s="10" t="s">
        <v>193</v>
      </c>
      <c r="S75" s="10" t="s">
        <v>159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6" spans="1:21" ht="14.45">
      <c r="A76" s="12" t="s">
        <v>369</v>
      </c>
      <c r="B76" s="10" t="s">
        <v>370</v>
      </c>
      <c r="C76" s="97">
        <f t="shared" si="10"/>
        <v>0.15625</v>
      </c>
      <c r="D76" s="10">
        <v>150</v>
      </c>
      <c r="E76" s="98">
        <f t="shared" si="9"/>
        <v>900</v>
      </c>
      <c r="F76" s="99"/>
      <c r="G76" s="10" t="s">
        <v>385</v>
      </c>
      <c r="H76" s="100">
        <v>45986</v>
      </c>
      <c r="I76" s="101"/>
      <c r="J76" s="139" t="s">
        <v>391</v>
      </c>
      <c r="K76" s="10" t="s">
        <v>365</v>
      </c>
      <c r="L76" s="10" t="s">
        <v>193</v>
      </c>
      <c r="M76" s="10" t="s">
        <v>154</v>
      </c>
      <c r="N76" s="12" t="s">
        <v>310</v>
      </c>
      <c r="O76" s="10" t="s">
        <v>156</v>
      </c>
      <c r="P76" s="137" t="s">
        <v>382</v>
      </c>
      <c r="Q76" s="10" t="s">
        <v>383</v>
      </c>
      <c r="R76" s="10" t="s">
        <v>193</v>
      </c>
      <c r="S76" s="10" t="s">
        <v>159</v>
      </c>
      <c r="T76" s="2" t="str">
        <f t="shared" si="8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7" spans="1:21" ht="14.45">
      <c r="A77" s="12" t="s">
        <v>369</v>
      </c>
      <c r="B77" s="10" t="s">
        <v>370</v>
      </c>
      <c r="C77" s="97">
        <f t="shared" si="10"/>
        <v>0.14791666666666667</v>
      </c>
      <c r="D77" s="10">
        <v>142</v>
      </c>
      <c r="E77" s="98">
        <f t="shared" si="9"/>
        <v>852</v>
      </c>
      <c r="F77" s="99"/>
      <c r="G77" s="10" t="s">
        <v>308</v>
      </c>
      <c r="H77" s="100">
        <v>45986</v>
      </c>
      <c r="I77" s="101"/>
      <c r="J77" s="10" t="s">
        <v>378</v>
      </c>
      <c r="K77" s="10" t="s">
        <v>365</v>
      </c>
      <c r="L77" s="10" t="s">
        <v>307</v>
      </c>
      <c r="M77" s="10" t="s">
        <v>154</v>
      </c>
      <c r="N77" s="12" t="s">
        <v>310</v>
      </c>
      <c r="O77" s="10" t="s">
        <v>156</v>
      </c>
      <c r="P77" s="137" t="s">
        <v>392</v>
      </c>
      <c r="Q77" s="10" t="s">
        <v>393</v>
      </c>
      <c r="R77" s="10" t="s">
        <v>307</v>
      </c>
      <c r="S77" s="10" t="s">
        <v>159</v>
      </c>
      <c r="T77" s="2" t="str">
        <f t="shared" si="8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*1BM5080ETS6204305*_x000D_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5">
      <c r="A78" s="12" t="s">
        <v>369</v>
      </c>
      <c r="B78" s="10" t="s">
        <v>370</v>
      </c>
      <c r="C78" s="97">
        <f t="shared" si="10"/>
        <v>0.14791666666666667</v>
      </c>
      <c r="D78" s="10">
        <v>142</v>
      </c>
      <c r="E78" s="98">
        <f t="shared" si="9"/>
        <v>852</v>
      </c>
      <c r="F78" s="99"/>
      <c r="G78" s="10" t="s">
        <v>313</v>
      </c>
      <c r="H78" s="100">
        <v>45986</v>
      </c>
      <c r="I78" s="101"/>
      <c r="J78" s="10" t="s">
        <v>378</v>
      </c>
      <c r="K78" s="10" t="s">
        <v>365</v>
      </c>
      <c r="L78" s="10" t="s">
        <v>307</v>
      </c>
      <c r="M78" s="10" t="s">
        <v>154</v>
      </c>
      <c r="N78" s="12" t="s">
        <v>310</v>
      </c>
      <c r="O78" s="10" t="s">
        <v>156</v>
      </c>
      <c r="P78" s="137" t="s">
        <v>392</v>
      </c>
      <c r="Q78" s="10" t="s">
        <v>393</v>
      </c>
      <c r="R78" s="10" t="s">
        <v>307</v>
      </c>
      <c r="S78" s="10" t="s">
        <v>159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*1BM5080EVS4204226*_x000D_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9" spans="1:21" ht="14.45">
      <c r="A79" s="12" t="s">
        <v>369</v>
      </c>
      <c r="B79" s="10" t="s">
        <v>370</v>
      </c>
      <c r="C79" s="97">
        <f t="shared" si="10"/>
        <v>0.14791666666666667</v>
      </c>
      <c r="D79" s="10">
        <v>142</v>
      </c>
      <c r="E79" s="98">
        <v>200</v>
      </c>
      <c r="F79" s="99"/>
      <c r="G79" s="10" t="s">
        <v>394</v>
      </c>
      <c r="H79" s="100">
        <v>45986</v>
      </c>
      <c r="I79" s="101"/>
      <c r="J79" s="10" t="s">
        <v>378</v>
      </c>
      <c r="K79" s="10" t="s">
        <v>365</v>
      </c>
      <c r="L79" s="10" t="s">
        <v>307</v>
      </c>
      <c r="M79" s="10" t="s">
        <v>154</v>
      </c>
      <c r="N79" s="12" t="s">
        <v>310</v>
      </c>
      <c r="O79" s="10" t="s">
        <v>156</v>
      </c>
      <c r="P79" s="137" t="s">
        <v>392</v>
      </c>
      <c r="Q79" s="10" t="s">
        <v>393</v>
      </c>
      <c r="R79" s="10" t="s">
        <v>307</v>
      </c>
      <c r="S79" s="10" t="s">
        <v>179</v>
      </c>
      <c r="T79" s="2" t="str">
        <f t="shared" si="8"/>
        <v>FA25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80" spans="1:21" ht="14.45">
      <c r="A80" s="12" t="s">
        <v>369</v>
      </c>
      <c r="B80" s="10" t="s">
        <v>370</v>
      </c>
      <c r="C80" s="97">
        <f t="shared" si="10"/>
        <v>0.14791666666666667</v>
      </c>
      <c r="D80" s="10">
        <v>142</v>
      </c>
      <c r="E80" s="98">
        <v>800</v>
      </c>
      <c r="F80" s="99"/>
      <c r="G80" s="10" t="s">
        <v>395</v>
      </c>
      <c r="H80" s="100">
        <v>45986</v>
      </c>
      <c r="I80" s="101"/>
      <c r="J80" s="10" t="s">
        <v>378</v>
      </c>
      <c r="K80" s="10" t="s">
        <v>365</v>
      </c>
      <c r="L80" s="10" t="s">
        <v>307</v>
      </c>
      <c r="M80" s="10" t="s">
        <v>154</v>
      </c>
      <c r="N80" s="12" t="s">
        <v>310</v>
      </c>
      <c r="O80" s="10" t="s">
        <v>156</v>
      </c>
      <c r="P80" s="137" t="s">
        <v>392</v>
      </c>
      <c r="Q80" s="10" t="s">
        <v>393</v>
      </c>
      <c r="R80" s="10" t="s">
        <v>307</v>
      </c>
      <c r="S80" s="10" t="s">
        <v>182</v>
      </c>
      <c r="T80" s="2" t="str">
        <f t="shared" si="8"/>
        <v>S440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81" spans="1:21" ht="14.45">
      <c r="A81" s="12" t="s">
        <v>369</v>
      </c>
      <c r="B81" s="10" t="s">
        <v>370</v>
      </c>
      <c r="C81" s="97">
        <f t="shared" si="10"/>
        <v>0.29791666666666666</v>
      </c>
      <c r="D81" s="10">
        <v>286</v>
      </c>
      <c r="E81" s="98">
        <f>IFERROR((D81*6),"?")</f>
        <v>1716</v>
      </c>
      <c r="F81" s="99"/>
      <c r="G81" s="10" t="s">
        <v>308</v>
      </c>
      <c r="H81" s="100">
        <v>45987</v>
      </c>
      <c r="I81" s="101"/>
      <c r="J81" s="10" t="s">
        <v>378</v>
      </c>
      <c r="K81" s="10" t="s">
        <v>365</v>
      </c>
      <c r="L81" s="10" t="s">
        <v>396</v>
      </c>
      <c r="M81" s="10" t="s">
        <v>154</v>
      </c>
      <c r="N81" s="12" t="s">
        <v>310</v>
      </c>
      <c r="O81" s="10" t="s">
        <v>156</v>
      </c>
      <c r="P81" s="137" t="s">
        <v>397</v>
      </c>
      <c r="Q81" s="10" t="s">
        <v>398</v>
      </c>
      <c r="R81" s="10" t="s">
        <v>396</v>
      </c>
      <c r="S81" s="10" t="s">
        <v>159</v>
      </c>
      <c r="T81" s="2" t="str">
        <f t="shared" si="8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*1BM5080ETS6204305*_x000D_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5">
      <c r="A82" s="12" t="s">
        <v>369</v>
      </c>
      <c r="B82" s="10" t="s">
        <v>370</v>
      </c>
      <c r="C82" s="97">
        <f t="shared" si="10"/>
        <v>0.29791666666666666</v>
      </c>
      <c r="D82" s="10">
        <v>286</v>
      </c>
      <c r="E82" s="98">
        <f>IFERROR((D82*6),"?")</f>
        <v>1716</v>
      </c>
      <c r="F82" s="99"/>
      <c r="G82" s="10" t="s">
        <v>313</v>
      </c>
      <c r="H82" s="100">
        <v>45987</v>
      </c>
      <c r="I82" s="101"/>
      <c r="J82" s="10" t="s">
        <v>378</v>
      </c>
      <c r="K82" s="10" t="s">
        <v>365</v>
      </c>
      <c r="L82" s="10" t="s">
        <v>396</v>
      </c>
      <c r="M82" s="10" t="s">
        <v>154</v>
      </c>
      <c r="N82" s="12" t="s">
        <v>310</v>
      </c>
      <c r="O82" s="10" t="s">
        <v>156</v>
      </c>
      <c r="P82" s="137" t="s">
        <v>397</v>
      </c>
      <c r="Q82" s="10" t="s">
        <v>398</v>
      </c>
      <c r="R82" s="10" t="s">
        <v>396</v>
      </c>
      <c r="S82" s="10" t="s">
        <v>159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*1BM5080EVS4204226*_x000D_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3" spans="1:21" ht="14.45">
      <c r="A83" s="12" t="s">
        <v>369</v>
      </c>
      <c r="B83" s="10" t="s">
        <v>370</v>
      </c>
      <c r="C83" s="97">
        <f t="shared" si="10"/>
        <v>0.29791666666666666</v>
      </c>
      <c r="D83" s="10">
        <v>286</v>
      </c>
      <c r="E83" s="98">
        <v>600</v>
      </c>
      <c r="F83" s="99"/>
      <c r="G83" s="10" t="s">
        <v>394</v>
      </c>
      <c r="H83" s="100">
        <v>45987</v>
      </c>
      <c r="I83" s="101"/>
      <c r="J83" s="10" t="s">
        <v>378</v>
      </c>
      <c r="K83" s="10" t="s">
        <v>365</v>
      </c>
      <c r="L83" s="10" t="s">
        <v>396</v>
      </c>
      <c r="M83" s="10" t="s">
        <v>154</v>
      </c>
      <c r="N83" s="12" t="s">
        <v>310</v>
      </c>
      <c r="O83" s="10" t="s">
        <v>156</v>
      </c>
      <c r="P83" s="137" t="s">
        <v>397</v>
      </c>
      <c r="Q83" s="10" t="s">
        <v>398</v>
      </c>
      <c r="R83" s="10" t="s">
        <v>396</v>
      </c>
      <c r="S83" s="10" t="s">
        <v>179</v>
      </c>
      <c r="T83" s="2" t="str">
        <f t="shared" si="8"/>
        <v>FA25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4" spans="1:21" ht="14.45">
      <c r="A84" s="12" t="s">
        <v>369</v>
      </c>
      <c r="B84" s="10" t="s">
        <v>370</v>
      </c>
      <c r="C84" s="97">
        <f t="shared" si="10"/>
        <v>0.29791666666666666</v>
      </c>
      <c r="D84" s="10">
        <v>286</v>
      </c>
      <c r="E84" s="98">
        <v>1400</v>
      </c>
      <c r="F84" s="99"/>
      <c r="G84" s="10" t="s">
        <v>395</v>
      </c>
      <c r="H84" s="100">
        <v>45987</v>
      </c>
      <c r="I84" s="101"/>
      <c r="J84" s="10" t="s">
        <v>378</v>
      </c>
      <c r="K84" s="10" t="s">
        <v>365</v>
      </c>
      <c r="L84" s="10" t="s">
        <v>396</v>
      </c>
      <c r="M84" s="10" t="s">
        <v>154</v>
      </c>
      <c r="N84" s="12" t="s">
        <v>310</v>
      </c>
      <c r="O84" s="10" t="s">
        <v>156</v>
      </c>
      <c r="P84" s="137" t="s">
        <v>397</v>
      </c>
      <c r="Q84" s="10" t="s">
        <v>398</v>
      </c>
      <c r="R84" s="10" t="s">
        <v>396</v>
      </c>
      <c r="S84" s="10" t="s">
        <v>182</v>
      </c>
      <c r="T84" s="2" t="str">
        <f t="shared" si="8"/>
        <v>S440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5" spans="1:21" ht="14.45">
      <c r="A85" s="12" t="s">
        <v>399</v>
      </c>
      <c r="B85" s="10" t="s">
        <v>370</v>
      </c>
      <c r="C85" s="97">
        <f t="shared" si="10"/>
        <v>2.8125000000000001E-2</v>
      </c>
      <c r="D85" s="10">
        <v>27</v>
      </c>
      <c r="E85" s="98">
        <v>100</v>
      </c>
      <c r="F85" s="99"/>
      <c r="G85" s="10" t="s">
        <v>394</v>
      </c>
      <c r="H85" s="100">
        <v>45989</v>
      </c>
      <c r="I85" s="101"/>
      <c r="J85" s="10" t="s">
        <v>400</v>
      </c>
      <c r="K85" s="10" t="s">
        <v>365</v>
      </c>
      <c r="L85" s="10" t="s">
        <v>193</v>
      </c>
      <c r="M85" s="10" t="s">
        <v>154</v>
      </c>
      <c r="N85" s="12" t="s">
        <v>310</v>
      </c>
      <c r="O85" s="10" t="s">
        <v>156</v>
      </c>
      <c r="P85" s="137" t="s">
        <v>401</v>
      </c>
      <c r="Q85" s="10" t="s">
        <v>402</v>
      </c>
      <c r="R85" s="10" t="s">
        <v>193</v>
      </c>
      <c r="S85" s="10" t="s">
        <v>179</v>
      </c>
      <c r="T85" s="2" t="str">
        <f t="shared" si="8"/>
        <v>FA25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6" spans="1:21" ht="14.45">
      <c r="A86" s="12" t="s">
        <v>399</v>
      </c>
      <c r="B86" s="10" t="s">
        <v>370</v>
      </c>
      <c r="C86" s="97">
        <f t="shared" si="10"/>
        <v>2.8125000000000001E-2</v>
      </c>
      <c r="D86" s="10">
        <v>27</v>
      </c>
      <c r="E86" s="98">
        <v>200</v>
      </c>
      <c r="F86" s="99"/>
      <c r="G86" s="10" t="s">
        <v>395</v>
      </c>
      <c r="H86" s="100">
        <v>45989</v>
      </c>
      <c r="I86" s="101"/>
      <c r="J86" s="10" t="s">
        <v>400</v>
      </c>
      <c r="K86" s="10" t="s">
        <v>365</v>
      </c>
      <c r="L86" s="10" t="s">
        <v>193</v>
      </c>
      <c r="M86" s="10" t="s">
        <v>154</v>
      </c>
      <c r="N86" s="12" t="s">
        <v>310</v>
      </c>
      <c r="O86" s="10" t="s">
        <v>156</v>
      </c>
      <c r="P86" s="137" t="s">
        <v>401</v>
      </c>
      <c r="Q86" s="10" t="s">
        <v>402</v>
      </c>
      <c r="R86" s="10" t="s">
        <v>193</v>
      </c>
      <c r="S86" s="10" t="s">
        <v>182</v>
      </c>
      <c r="T86" s="2" t="str">
        <f t="shared" si="8"/>
        <v>S440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Q86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7" spans="1:21" ht="15" customHeight="1">
      <c r="A87" s="12" t="s">
        <v>399</v>
      </c>
      <c r="B87" s="10" t="s">
        <v>370</v>
      </c>
      <c r="C87" s="97">
        <f t="shared" si="10"/>
        <v>0.10729166666666666</v>
      </c>
      <c r="D87" s="10">
        <v>103</v>
      </c>
      <c r="E87" s="98">
        <f>IFERROR((D87*6),"?")</f>
        <v>618</v>
      </c>
      <c r="F87" s="99"/>
      <c r="G87" s="10" t="s">
        <v>403</v>
      </c>
      <c r="H87" s="100">
        <v>45989</v>
      </c>
      <c r="I87" s="101"/>
      <c r="J87" s="10" t="s">
        <v>404</v>
      </c>
      <c r="K87" s="10" t="s">
        <v>199</v>
      </c>
      <c r="L87" s="10" t="s">
        <v>193</v>
      </c>
      <c r="M87" s="10" t="s">
        <v>154</v>
      </c>
      <c r="N87" s="12" t="s">
        <v>155</v>
      </c>
      <c r="O87" s="10" t="s">
        <v>156</v>
      </c>
      <c r="P87" s="138" t="s">
        <v>405</v>
      </c>
      <c r="Q87" s="10" t="s">
        <v>406</v>
      </c>
      <c r="R87" s="10" t="s">
        <v>193</v>
      </c>
      <c r="S87" s="10" t="s">
        <v>159</v>
      </c>
      <c r="T87" s="2" t="str">
        <f t="shared" ref="T87:T90" si="11">IF(
  OR(
    IFERROR(FIND("BM",G87),0)&gt;0,
    IFERROR(FIND("PY",G87),0)&gt;0
  ),
  MID(TRIM(SUBSTITUTE(SUBSTITUTE(G87,CHAR(160),""),CHAR(9),"")),4,5),
  MID(TRIM(SUBSTITUTE(SUBSTITUTE(G87,CHAR(160),""),CHAR(9),"")),4,4)
)</f>
        <v>5080E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Q87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8" spans="1:21" ht="15" customHeight="1">
      <c r="A88" s="12" t="s">
        <v>399</v>
      </c>
      <c r="B88" s="10" t="s">
        <v>370</v>
      </c>
      <c r="C88" s="97">
        <f t="shared" si="10"/>
        <v>0.10729166666666666</v>
      </c>
      <c r="D88" s="10">
        <v>103</v>
      </c>
      <c r="E88" s="98">
        <f>IFERROR((D88*6),"?")</f>
        <v>618</v>
      </c>
      <c r="F88" s="99"/>
      <c r="G88" s="10" t="s">
        <v>407</v>
      </c>
      <c r="H88" s="100">
        <v>45989</v>
      </c>
      <c r="I88" s="101"/>
      <c r="J88" s="10" t="s">
        <v>408</v>
      </c>
      <c r="K88" s="10" t="s">
        <v>199</v>
      </c>
      <c r="L88" s="10" t="s">
        <v>193</v>
      </c>
      <c r="M88" s="10" t="s">
        <v>154</v>
      </c>
      <c r="N88" s="12" t="s">
        <v>155</v>
      </c>
      <c r="O88" s="10" t="s">
        <v>156</v>
      </c>
      <c r="P88" s="138" t="s">
        <v>405</v>
      </c>
      <c r="Q88" s="10" t="s">
        <v>406</v>
      </c>
      <c r="R88" s="10" t="s">
        <v>193</v>
      </c>
      <c r="S88" s="10" t="s">
        <v>159</v>
      </c>
      <c r="T88" s="2" t="str">
        <f t="shared" si="11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Q88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9" spans="1:21" ht="15" customHeight="1">
      <c r="A89" s="12" t="s">
        <v>399</v>
      </c>
      <c r="B89" s="10" t="s">
        <v>370</v>
      </c>
      <c r="C89" s="97">
        <f t="shared" si="10"/>
        <v>0.14583333333333334</v>
      </c>
      <c r="D89" s="10">
        <v>140</v>
      </c>
      <c r="E89" s="98">
        <v>200</v>
      </c>
      <c r="F89" s="99"/>
      <c r="G89" s="10" t="s">
        <v>409</v>
      </c>
      <c r="H89" s="100">
        <v>45989</v>
      </c>
      <c r="I89" s="101"/>
      <c r="J89" s="10" t="s">
        <v>410</v>
      </c>
      <c r="K89" s="10" t="s">
        <v>199</v>
      </c>
      <c r="L89" s="10" t="s">
        <v>193</v>
      </c>
      <c r="M89" s="10" t="s">
        <v>154</v>
      </c>
      <c r="N89" s="12" t="s">
        <v>155</v>
      </c>
      <c r="O89" s="10" t="s">
        <v>156</v>
      </c>
      <c r="P89" s="138" t="s">
        <v>411</v>
      </c>
      <c r="Q89" s="10" t="s">
        <v>412</v>
      </c>
      <c r="R89" s="10" t="s">
        <v>193</v>
      </c>
      <c r="S89" s="10" t="s">
        <v>179</v>
      </c>
      <c r="T89" s="2" t="str">
        <f t="shared" si="11"/>
        <v>FA25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Q89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90" spans="1:21" ht="15" customHeight="1">
      <c r="A90" s="12" t="s">
        <v>399</v>
      </c>
      <c r="B90" s="10" t="s">
        <v>370</v>
      </c>
      <c r="C90" s="97">
        <f t="shared" si="10"/>
        <v>0.14583333333333334</v>
      </c>
      <c r="D90" s="10">
        <v>140</v>
      </c>
      <c r="E90" s="98">
        <v>800</v>
      </c>
      <c r="F90" s="99"/>
      <c r="G90" s="10" t="s">
        <v>413</v>
      </c>
      <c r="H90" s="100">
        <v>45989</v>
      </c>
      <c r="I90" s="101"/>
      <c r="J90" s="10" t="s">
        <v>410</v>
      </c>
      <c r="K90" s="10" t="s">
        <v>199</v>
      </c>
      <c r="L90" s="10" t="s">
        <v>193</v>
      </c>
      <c r="M90" s="10" t="s">
        <v>154</v>
      </c>
      <c r="N90" s="12" t="s">
        <v>155</v>
      </c>
      <c r="O90" s="10" t="s">
        <v>156</v>
      </c>
      <c r="P90" s="138" t="s">
        <v>411</v>
      </c>
      <c r="Q90" s="10" t="s">
        <v>412</v>
      </c>
      <c r="R90" s="10" t="s">
        <v>193</v>
      </c>
      <c r="S90" s="10" t="s">
        <v>182</v>
      </c>
      <c r="T90" s="2" t="str">
        <f t="shared" si="11"/>
        <v>S440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Q90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999">
    <cfRule type="expression" dxfId="199" priority="1">
      <formula>$A2="EM ROTA (D)"</formula>
    </cfRule>
    <cfRule type="expression" dxfId="198" priority="2">
      <formula>$A2="CONCLUIDO"</formula>
    </cfRule>
    <cfRule type="expression" dxfId="197" priority="3">
      <formula>MID(TRIM($A2), LEN(TRIM($A2))-2, 3)="(D)"</formula>
    </cfRule>
    <cfRule type="expression" dxfId="196" priority="4">
      <formula>AND(INT($H2)=TODAY()+1, COUNTIF($A2:$A2,"CONCLUIDO*")+COUNTIF($A2:$A2,"CONCLUÍDO*")=0)</formula>
    </cfRule>
    <cfRule type="expression" dxfId="195" priority="5">
      <formula>AND(INT($H2)=TODAY(), COUNTIF($A2:$A2,"CONCLUIDO*")+COUNTIF($A2:$A2,"CONCLUÍDO*")=0)</formula>
    </cfRule>
    <cfRule type="expression" dxfId="194" priority="6">
      <formula>$A2="RECEBIDO"</formula>
    </cfRule>
    <cfRule type="expression" dxfId="193" priority="7">
      <formula>$A2="EM ROTA"</formula>
    </cfRule>
    <cfRule type="expression" dxfId="192" priority="8">
      <formula>$A2="RECEBIDO (D)"</formula>
    </cfRule>
    <cfRule type="expression" dxfId="191" priority="10">
      <formula>$A2="SUSPENSO"</formula>
    </cfRule>
    <cfRule type="expression" dxfId="190" priority="11">
      <formula>$A2="PROGRAMADO (D)"</formula>
    </cfRule>
    <cfRule type="expression" dxfId="189" priority="12">
      <formula>$A2="PROGRAMADO"</formula>
    </cfRule>
    <cfRule type="expression" dxfId="188" priority="13">
      <formula>$A2="CONCLUIDO (D)"</formula>
    </cfRule>
    <cfRule type="expression" dxfId="187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6" r:id="rId18" xr:uid="{49E32A6B-1D53-44FA-A63E-AE7ED51C6BB4}"/>
    <hyperlink ref="O55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54" r:id="rId30" xr:uid="{70D4D829-DA8C-40E6-BD6E-B7282DF4A657}"/>
    <hyperlink ref="P86" r:id="rId31" xr:uid="{96286438-362B-40DD-B9A3-7A3553982567}"/>
    <hyperlink ref="P85" r:id="rId32" xr:uid="{965E07E1-48EF-4AF2-99AC-86613E3A391B}"/>
    <hyperlink ref="P63" r:id="rId33" xr:uid="{7939B7CF-4BAE-41E7-894E-4BF1E1C84D25}"/>
    <hyperlink ref="P62" r:id="rId34" xr:uid="{C440054D-D2F0-4CAA-A620-C4D3B3E9D0B6}"/>
    <hyperlink ref="P61" r:id="rId35" xr:uid="{29E21E59-DC81-4DC3-AF06-F8EC99091C7C}"/>
    <hyperlink ref="P71" r:id="rId36" xr:uid="{AFD9AB9F-C81B-4BD1-A40B-01457D02EE0F}"/>
    <hyperlink ref="P70" r:id="rId37" xr:uid="{6B8816EA-1A07-4859-B5B3-5FC01F9DC124}"/>
    <hyperlink ref="P67" r:id="rId38" xr:uid="{A9AA373C-FC1A-40E9-A8D8-5BFCCBF6916F}"/>
    <hyperlink ref="P68" r:id="rId39" xr:uid="{FA978F4C-E7D2-4FD1-B8B6-C3972C68FEE9}"/>
    <hyperlink ref="P69" r:id="rId40" xr:uid="{B6529B0B-AEB3-4E9D-8BEC-03865EA6C14C}"/>
    <hyperlink ref="P80" r:id="rId41" xr:uid="{515BDF3D-BAB1-4FFA-968A-8936C709C958}"/>
    <hyperlink ref="P79" r:id="rId42" xr:uid="{51C4937D-DAC7-4274-8C14-92EA30D60D1D}"/>
    <hyperlink ref="P77" r:id="rId43" xr:uid="{43BCC242-78E4-41A7-B235-8863F0D146FA}"/>
    <hyperlink ref="P78" r:id="rId44" xr:uid="{F2E26CDA-9FC4-476C-976B-0620D5373FD4}"/>
    <hyperlink ref="P84" r:id="rId45" xr:uid="{521D8005-3A9F-489A-9682-67A1E649258D}"/>
    <hyperlink ref="P83" r:id="rId46" xr:uid="{E72D2001-A5E3-4F6D-B789-D6365834A689}"/>
    <hyperlink ref="P81" r:id="rId47" xr:uid="{79D35B82-0198-4B1A-B23B-4DB30E39C1EA}"/>
    <hyperlink ref="P82" r:id="rId48" xr:uid="{8EFE1176-A41A-4C7C-B74C-D0E39306ECF1}"/>
    <hyperlink ref="P88" r:id="rId49" xr:uid="{DCEEFE8E-9F59-4A17-94AF-4FDBFA3483A7}"/>
    <hyperlink ref="P87" r:id="rId50" xr:uid="{3428B944-7129-440B-B67A-440832101F75}"/>
    <hyperlink ref="P90" r:id="rId51" xr:uid="{B4D29A4F-8DB3-464E-8AF6-648AB5756658}"/>
    <hyperlink ref="P89" r:id="rId52" xr:uid="{6621978F-BBD4-4FE8-9B45-E091A0DEA9B2}"/>
    <hyperlink ref="P46" r:id="rId53" xr:uid="{98BE7C7D-BDFD-49DE-AD2C-8CC1D975EE54}"/>
    <hyperlink ref="P48" r:id="rId54" xr:uid="{80FCD3D6-886A-4753-BD5E-76BF381F09DD}"/>
    <hyperlink ref="P50" r:id="rId55" xr:uid="{35C8F299-0431-4154-BA8E-D57684DD5AFF}"/>
    <hyperlink ref="P49" r:id="rId56" xr:uid="{039A2838-E872-4E04-BD73-2D02C60901F5}"/>
    <hyperlink ref="P44" r:id="rId57" xr:uid="{10916CED-24C0-44F1-BF83-3DF6225C255A}"/>
    <hyperlink ref="P45" r:id="rId58" xr:uid="{185DC344-E77D-4E79-9F13-4A4114AD973A}"/>
    <hyperlink ref="P72" r:id="rId59" xr:uid="{33F6CDA7-9184-4782-9824-A8A77009C9F3}"/>
    <hyperlink ref="P73" r:id="rId60" xr:uid="{BE1605CF-AD15-42C6-B239-3BD3AF93EC89}"/>
    <hyperlink ref="P74" r:id="rId61" xr:uid="{97D22250-76AA-4A54-98A4-33B9943F85B5}"/>
    <hyperlink ref="P75" r:id="rId62" xr:uid="{EB6F1AD3-7CE1-4326-A2DF-19596935B0AF}"/>
    <hyperlink ref="P76" r:id="rId63" xr:uid="{98603C66-FEE4-4179-ADAB-C560D329E03F}"/>
    <hyperlink ref="P64" r:id="rId64" xr:uid="{2C698C04-66B3-4D04-A398-67F6DDD3BB80}"/>
    <hyperlink ref="P35" r:id="rId65" xr:uid="{E1CCDE4A-D69B-4D05-A801-DC5AA12ED887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6"/>
  <sheetViews>
    <sheetView showGridLines="0" tabSelected="1" zoomScaleNormal="100" workbookViewId="0">
      <pane ySplit="1" topLeftCell="A93" activePane="bottomLeft" state="frozen"/>
      <selection pane="bottomLeft" activeCell="J96" sqref="J96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414</v>
      </c>
      <c r="C1" s="16" t="s">
        <v>415</v>
      </c>
      <c r="D1" s="72" t="s">
        <v>416</v>
      </c>
      <c r="E1" s="1" t="s">
        <v>417</v>
      </c>
      <c r="F1" s="15" t="s">
        <v>418</v>
      </c>
      <c r="G1" s="14" t="s">
        <v>419</v>
      </c>
      <c r="H1" s="4" t="s">
        <v>420</v>
      </c>
      <c r="I1" s="15" t="s">
        <v>421</v>
      </c>
      <c r="J1" s="16" t="s">
        <v>422</v>
      </c>
      <c r="K1" s="70" t="s">
        <v>423</v>
      </c>
      <c r="L1" s="15" t="s">
        <v>424</v>
      </c>
    </row>
    <row r="2" spans="1:12" ht="14.45" hidden="1">
      <c r="A2" s="4" t="s">
        <v>425</v>
      </c>
      <c r="B2" s="1" t="s">
        <v>426</v>
      </c>
      <c r="C2" s="16">
        <v>45971</v>
      </c>
      <c r="D2" s="1" t="s">
        <v>427</v>
      </c>
      <c r="E2" s="1" t="str">
        <f>_xlfn.XLOOKUP(F2,UTIL!Q:Q,UTIL!N:N,"-")</f>
        <v>076669324</v>
      </c>
      <c r="F2" s="15" t="s">
        <v>428</v>
      </c>
      <c r="G2" s="14">
        <v>133.13</v>
      </c>
      <c r="H2" s="4" t="s">
        <v>429</v>
      </c>
      <c r="I2" s="15" t="s">
        <v>430</v>
      </c>
      <c r="J2" s="16">
        <v>45964</v>
      </c>
      <c r="K2" s="71" t="s">
        <v>431</v>
      </c>
      <c r="L2" s="15" t="str">
        <f t="shared" ref="L2:L33" si="0">TEXT($C2,"dd.mm") &amp; " -Ped " &amp; D2 &amp; " -" &amp; F2 &amp; " -R$" &amp; G2 &amp; IF(LEN(TRIM(I2))=0, "", " -NF " &amp; TRIM(I2))</f>
        <v>10.11 -Ped 047116 -DER - AET VEICULOS -R$133,13 -NF BOLETO</v>
      </c>
    </row>
    <row r="3" spans="1:12" ht="14.45" hidden="1">
      <c r="A3" s="4" t="s">
        <v>432</v>
      </c>
      <c r="B3" s="1" t="s">
        <v>426</v>
      </c>
      <c r="C3" s="16">
        <v>45966</v>
      </c>
      <c r="D3" s="1" t="s">
        <v>433</v>
      </c>
      <c r="E3" s="1" t="str">
        <f>_xlfn.XLOOKUP(F3,UTIL!Q:Q,UTIL!N:N,"-")</f>
        <v>078206513</v>
      </c>
      <c r="F3" s="15" t="s">
        <v>434</v>
      </c>
      <c r="G3" s="14">
        <v>156.18</v>
      </c>
      <c r="H3" s="4" t="s">
        <v>429</v>
      </c>
      <c r="I3" s="15" t="s">
        <v>430</v>
      </c>
      <c r="J3" s="16">
        <v>45964</v>
      </c>
      <c r="K3" s="71" t="s">
        <v>435</v>
      </c>
      <c r="L3" s="15" t="str">
        <f t="shared" si="0"/>
        <v>05.11 -Ped 047117 -DETRAN PR -R$156,18 -NF BOLETO</v>
      </c>
    </row>
    <row r="4" spans="1:12" ht="14.45" hidden="1">
      <c r="A4" s="4" t="s">
        <v>432</v>
      </c>
      <c r="B4" s="1" t="s">
        <v>426</v>
      </c>
      <c r="C4" s="16">
        <v>45966</v>
      </c>
      <c r="D4" s="1" t="s">
        <v>433</v>
      </c>
      <c r="E4" s="1" t="str">
        <f>_xlfn.XLOOKUP(F4,UTIL!Q:Q,UTIL!N:N,"-")</f>
        <v>078206513</v>
      </c>
      <c r="F4" s="15" t="s">
        <v>434</v>
      </c>
      <c r="G4" s="14">
        <v>94.61</v>
      </c>
      <c r="H4" s="4" t="s">
        <v>429</v>
      </c>
      <c r="I4" s="15" t="s">
        <v>430</v>
      </c>
      <c r="J4" s="16">
        <v>45964</v>
      </c>
      <c r="K4" s="71" t="s">
        <v>436</v>
      </c>
      <c r="L4" s="15" t="str">
        <f t="shared" si="0"/>
        <v>05.11 -Ped 047117 -DETRAN PR -R$94,61 -NF BOLETO</v>
      </c>
    </row>
    <row r="5" spans="1:12" ht="14.45" hidden="1">
      <c r="A5" s="4" t="s">
        <v>425</v>
      </c>
      <c r="B5" s="1" t="s">
        <v>426</v>
      </c>
      <c r="C5" s="16">
        <v>45965</v>
      </c>
      <c r="D5" s="1" t="s">
        <v>437</v>
      </c>
      <c r="E5" s="1" t="str">
        <f>_xlfn.XLOOKUP(F5,UTIL!Q:Q,UTIL!N:N,"-")</f>
        <v>004892707</v>
      </c>
      <c r="F5" s="15" t="s">
        <v>438</v>
      </c>
      <c r="G5" s="14">
        <v>87.62</v>
      </c>
      <c r="H5" s="4" t="s">
        <v>429</v>
      </c>
      <c r="I5" s="15" t="s">
        <v>430</v>
      </c>
      <c r="J5" s="16">
        <v>45965</v>
      </c>
      <c r="K5" s="71" t="s">
        <v>439</v>
      </c>
      <c r="L5" s="15" t="str">
        <f t="shared" si="0"/>
        <v>04.11 -Ped 047178 -DNIT -R$87,62 -NF BOLETO</v>
      </c>
    </row>
    <row r="6" spans="1:12" ht="14.45" hidden="1">
      <c r="A6" s="4" t="s">
        <v>440</v>
      </c>
      <c r="B6" s="1" t="s">
        <v>205</v>
      </c>
      <c r="C6" s="16">
        <v>45964</v>
      </c>
      <c r="D6" s="1" t="s">
        <v>441</v>
      </c>
      <c r="E6" s="1" t="str">
        <f>_xlfn.XLOOKUP(F6,UTIL!Q:Q,UTIL!N:N,"-")</f>
        <v>027525938</v>
      </c>
      <c r="F6" s="15" t="s">
        <v>442</v>
      </c>
      <c r="G6" s="14">
        <v>1100</v>
      </c>
      <c r="H6" s="4" t="s">
        <v>429</v>
      </c>
      <c r="I6" s="15">
        <v>2967</v>
      </c>
      <c r="J6" s="16">
        <v>45965</v>
      </c>
      <c r="K6" s="71" t="s">
        <v>443</v>
      </c>
      <c r="L6" s="15" t="str">
        <f t="shared" si="0"/>
        <v>03.11 -Ped 047186 -ESC -TR PEÇA -R$1100 -NF 2967</v>
      </c>
    </row>
    <row r="7" spans="1:12" ht="14.45" hidden="1">
      <c r="A7" s="4" t="s">
        <v>440</v>
      </c>
      <c r="B7" s="1" t="s">
        <v>153</v>
      </c>
      <c r="C7" s="16">
        <v>45964</v>
      </c>
      <c r="D7" s="1" t="s">
        <v>444</v>
      </c>
      <c r="E7" s="1" t="str">
        <f>_xlfn.XLOOKUP(F7,UTIL!Q:Q,UTIL!N:N,"-")</f>
        <v>027525938</v>
      </c>
      <c r="F7" s="15" t="s">
        <v>442</v>
      </c>
      <c r="G7" s="14">
        <v>550</v>
      </c>
      <c r="H7" s="4" t="s">
        <v>429</v>
      </c>
      <c r="I7" s="15">
        <v>2965</v>
      </c>
      <c r="J7" s="16">
        <v>45965</v>
      </c>
      <c r="K7" s="71" t="s">
        <v>443</v>
      </c>
      <c r="L7" s="15" t="str">
        <f t="shared" si="0"/>
        <v>03.11 -Ped 047187 -ESC -TR PEÇA -R$550 -NF 2965</v>
      </c>
    </row>
    <row r="8" spans="1:12" ht="14.45" hidden="1">
      <c r="A8" s="4" t="s">
        <v>440</v>
      </c>
      <c r="B8" s="1" t="s">
        <v>426</v>
      </c>
      <c r="C8" s="16">
        <v>45964</v>
      </c>
      <c r="D8" s="1" t="s">
        <v>445</v>
      </c>
      <c r="E8" s="1" t="str">
        <f>_xlfn.XLOOKUP(F8,UTIL!Q:Q,UTIL!N:N,"-")</f>
        <v>027525938</v>
      </c>
      <c r="F8" s="15" t="s">
        <v>442</v>
      </c>
      <c r="G8" s="14">
        <v>600</v>
      </c>
      <c r="H8" s="4" t="s">
        <v>429</v>
      </c>
      <c r="I8" s="15">
        <v>2964</v>
      </c>
      <c r="J8" s="16">
        <v>45965</v>
      </c>
      <c r="K8" s="71" t="s">
        <v>443</v>
      </c>
      <c r="L8" s="15" t="str">
        <f t="shared" si="0"/>
        <v>03.11 -Ped 047188 -ESC -TR PEÇA -R$600 -NF 2964</v>
      </c>
    </row>
    <row r="9" spans="1:12" ht="14.45" hidden="1">
      <c r="A9" s="4" t="s">
        <v>440</v>
      </c>
      <c r="B9" s="1" t="s">
        <v>446</v>
      </c>
      <c r="C9" s="16">
        <v>45964</v>
      </c>
      <c r="D9" s="1" t="s">
        <v>447</v>
      </c>
      <c r="E9" s="1" t="str">
        <f>_xlfn.XLOOKUP(F9,UTIL!Q:Q,UTIL!N:N,"-")</f>
        <v>027525938</v>
      </c>
      <c r="F9" s="15" t="s">
        <v>442</v>
      </c>
      <c r="G9" s="14">
        <v>550</v>
      </c>
      <c r="H9" s="4" t="s">
        <v>429</v>
      </c>
      <c r="I9" s="15">
        <v>2963</v>
      </c>
      <c r="J9" s="16">
        <v>45965</v>
      </c>
      <c r="K9" s="71" t="s">
        <v>443</v>
      </c>
      <c r="L9" s="15" t="str">
        <f t="shared" si="0"/>
        <v>03.11 -Ped 047189 -ESC -TR PEÇA -R$550 -NF 2963</v>
      </c>
    </row>
    <row r="10" spans="1:12" ht="14.45" hidden="1">
      <c r="A10" s="4" t="s">
        <v>440</v>
      </c>
      <c r="B10" s="1" t="s">
        <v>307</v>
      </c>
      <c r="C10" s="16">
        <v>45964</v>
      </c>
      <c r="D10" s="1" t="s">
        <v>448</v>
      </c>
      <c r="E10" s="1" t="str">
        <f>_xlfn.XLOOKUP(F10,UTIL!Q:Q,UTIL!N:N,"-")</f>
        <v>027525938</v>
      </c>
      <c r="F10" s="15" t="s">
        <v>442</v>
      </c>
      <c r="G10" s="14">
        <v>850</v>
      </c>
      <c r="H10" s="4" t="s">
        <v>429</v>
      </c>
      <c r="I10" s="15">
        <v>2962</v>
      </c>
      <c r="J10" s="16">
        <v>45965</v>
      </c>
      <c r="K10" s="71" t="s">
        <v>443</v>
      </c>
      <c r="L10" s="15" t="str">
        <f t="shared" si="0"/>
        <v>03.11 -Ped 047190 -ESC -TR PEÇA -R$850 -NF 2962</v>
      </c>
    </row>
    <row r="11" spans="1:12" ht="14.45" hidden="1">
      <c r="A11" s="4" t="s">
        <v>440</v>
      </c>
      <c r="B11" s="1" t="s">
        <v>449</v>
      </c>
      <c r="C11" s="16">
        <v>45964</v>
      </c>
      <c r="D11" s="1" t="s">
        <v>450</v>
      </c>
      <c r="E11" s="1" t="str">
        <f>_xlfn.XLOOKUP(F11,UTIL!Q:Q,UTIL!N:N,"-")</f>
        <v>027525938</v>
      </c>
      <c r="F11" s="15" t="s">
        <v>442</v>
      </c>
      <c r="G11" s="14">
        <v>1100</v>
      </c>
      <c r="H11" s="4" t="s">
        <v>429</v>
      </c>
      <c r="I11" s="15">
        <v>2969</v>
      </c>
      <c r="J11" s="16">
        <v>45965</v>
      </c>
      <c r="K11" s="71" t="s">
        <v>443</v>
      </c>
      <c r="L11" s="15" t="str">
        <f t="shared" si="0"/>
        <v>03.11 -Ped 047192 -ESC -TR PEÇA -R$1100 -NF 2969</v>
      </c>
    </row>
    <row r="12" spans="1:12" ht="14.45" hidden="1">
      <c r="A12" s="4" t="s">
        <v>440</v>
      </c>
      <c r="B12" s="1" t="s">
        <v>396</v>
      </c>
      <c r="C12" s="16">
        <v>45964</v>
      </c>
      <c r="D12" s="1" t="s">
        <v>451</v>
      </c>
      <c r="E12" s="1" t="str">
        <f>_xlfn.XLOOKUP(F12,UTIL!Q:Q,UTIL!N:N,"-")</f>
        <v>027525938</v>
      </c>
      <c r="F12" s="15" t="s">
        <v>442</v>
      </c>
      <c r="G12" s="14">
        <v>830</v>
      </c>
      <c r="H12" s="4" t="s">
        <v>429</v>
      </c>
      <c r="I12" s="15">
        <v>2968</v>
      </c>
      <c r="J12" s="16">
        <v>45965</v>
      </c>
      <c r="K12" s="71" t="s">
        <v>443</v>
      </c>
      <c r="L12" s="15" t="str">
        <f t="shared" si="0"/>
        <v>03.11 -Ped 047193 -ESC -TR PEÇA -R$830 -NF 2968</v>
      </c>
    </row>
    <row r="13" spans="1:12" ht="14.45" hidden="1">
      <c r="A13" s="4" t="s">
        <v>452</v>
      </c>
      <c r="B13" s="1" t="s">
        <v>396</v>
      </c>
      <c r="C13" s="16">
        <v>45964</v>
      </c>
      <c r="D13" s="1" t="s">
        <v>453</v>
      </c>
      <c r="E13" s="1" t="str">
        <f>_xlfn.XLOOKUP(F13,UTIL!Q:Q,UTIL!N:N,"-")</f>
        <v>061196032</v>
      </c>
      <c r="F13" s="15" t="s">
        <v>454</v>
      </c>
      <c r="G13" s="14">
        <v>200</v>
      </c>
      <c r="H13" s="4" t="s">
        <v>429</v>
      </c>
      <c r="I13" s="15">
        <v>48</v>
      </c>
      <c r="J13" s="16">
        <v>45966</v>
      </c>
      <c r="K13" s="71"/>
      <c r="L13" s="15" t="str">
        <f t="shared" si="0"/>
        <v>03.11 -Ped 047258 -ANDREIA R. COURIER -R$200 -NF 48</v>
      </c>
    </row>
    <row r="14" spans="1:12" ht="14.45" hidden="1">
      <c r="A14" s="4" t="s">
        <v>452</v>
      </c>
      <c r="B14" s="1" t="s">
        <v>446</v>
      </c>
      <c r="C14" s="16">
        <v>45965</v>
      </c>
      <c r="D14" s="1" t="s">
        <v>455</v>
      </c>
      <c r="E14" s="1" t="str">
        <f>_xlfn.XLOOKUP(F14,UTIL!Q:Q,UTIL!N:N,"-")</f>
        <v>034154225</v>
      </c>
      <c r="F14" s="15" t="s">
        <v>456</v>
      </c>
      <c r="G14" s="14">
        <v>150</v>
      </c>
      <c r="H14" s="4" t="s">
        <v>429</v>
      </c>
      <c r="I14" s="15">
        <v>420</v>
      </c>
      <c r="J14" s="16">
        <v>45967</v>
      </c>
      <c r="K14" s="71" t="s">
        <v>457</v>
      </c>
      <c r="L14" s="15" t="str">
        <f t="shared" si="0"/>
        <v>04.11 -Ped 047199 -JOHN ELVIS COURIER -R$150 -NF 420</v>
      </c>
    </row>
    <row r="15" spans="1:12" ht="14.45" hidden="1">
      <c r="A15" s="4" t="s">
        <v>452</v>
      </c>
      <c r="B15" s="1" t="s">
        <v>396</v>
      </c>
      <c r="C15" s="16">
        <v>45964</v>
      </c>
      <c r="D15" s="1" t="s">
        <v>458</v>
      </c>
      <c r="E15" s="1" t="str">
        <f>_xlfn.XLOOKUP(F15,UTIL!Q:Q,UTIL!N:N,"-")</f>
        <v>049138592</v>
      </c>
      <c r="F15" s="15" t="s">
        <v>459</v>
      </c>
      <c r="G15" s="14">
        <v>1210</v>
      </c>
      <c r="H15" s="4" t="s">
        <v>429</v>
      </c>
      <c r="I15" s="15">
        <v>247</v>
      </c>
      <c r="J15" s="16">
        <v>45967</v>
      </c>
      <c r="K15" s="71" t="s">
        <v>460</v>
      </c>
      <c r="L15" s="15" t="str">
        <f t="shared" si="0"/>
        <v>03.11 -Ped 047247 -DELTA MOTOS COURIER -R$1210 -NF 247</v>
      </c>
    </row>
    <row r="16" spans="1:12" ht="14.45" hidden="1">
      <c r="A16" s="4" t="s">
        <v>452</v>
      </c>
      <c r="B16" s="1" t="s">
        <v>307</v>
      </c>
      <c r="C16" s="16">
        <v>45966</v>
      </c>
      <c r="D16" s="1" t="s">
        <v>461</v>
      </c>
      <c r="E16" s="1" t="str">
        <f>_xlfn.XLOOKUP(F16,UTIL!Q:Q,UTIL!N:N,"-")</f>
        <v>051496564</v>
      </c>
      <c r="F16" s="15" t="s">
        <v>462</v>
      </c>
      <c r="G16" s="14">
        <v>520</v>
      </c>
      <c r="H16" s="4" t="s">
        <v>429</v>
      </c>
      <c r="I16" s="15">
        <v>408</v>
      </c>
      <c r="J16" s="16">
        <v>45967</v>
      </c>
      <c r="K16" s="71" t="s">
        <v>463</v>
      </c>
      <c r="L16" s="15" t="str">
        <f t="shared" si="0"/>
        <v>05.11 -Ped 047267 -MARCOS D. COURIER -R$520 -NF 408</v>
      </c>
    </row>
    <row r="17" spans="1:12" ht="14.45" hidden="1">
      <c r="A17" s="4" t="s">
        <v>452</v>
      </c>
      <c r="B17" s="1" t="s">
        <v>449</v>
      </c>
      <c r="C17" s="16">
        <v>45966</v>
      </c>
      <c r="D17" s="1" t="s">
        <v>464</v>
      </c>
      <c r="E17" s="1" t="str">
        <f>_xlfn.XLOOKUP(F17,UTIL!Q:Q,UTIL!N:N,"-")</f>
        <v>051496564</v>
      </c>
      <c r="F17" s="15" t="s">
        <v>462</v>
      </c>
      <c r="G17" s="14">
        <v>180</v>
      </c>
      <c r="H17" s="4" t="s">
        <v>429</v>
      </c>
      <c r="I17" s="15">
        <v>409</v>
      </c>
      <c r="J17" s="16">
        <v>45967</v>
      </c>
      <c r="K17" s="71" t="s">
        <v>465</v>
      </c>
      <c r="L17" s="15" t="str">
        <f t="shared" si="0"/>
        <v>05.11 -Ped 047268 -MARCOS D. COURIER -R$180 -NF 409</v>
      </c>
    </row>
    <row r="18" spans="1:12" ht="14.45" hidden="1">
      <c r="A18" s="4" t="s">
        <v>466</v>
      </c>
      <c r="B18" s="1" t="s">
        <v>153</v>
      </c>
      <c r="C18" s="16">
        <v>45965</v>
      </c>
      <c r="D18" s="1" t="s">
        <v>467</v>
      </c>
      <c r="E18" s="1" t="str">
        <f>_xlfn.XLOOKUP(F18,UTIL!Q:Q,UTIL!N:N,"-")</f>
        <v>032878844</v>
      </c>
      <c r="F18" s="15" t="s">
        <v>468</v>
      </c>
      <c r="G18" s="14">
        <v>910</v>
      </c>
      <c r="H18" s="4" t="s">
        <v>429</v>
      </c>
      <c r="I18" s="15">
        <v>177</v>
      </c>
      <c r="J18" s="16">
        <v>45967</v>
      </c>
      <c r="K18" s="71" t="s">
        <v>469</v>
      </c>
      <c r="L18" s="15" t="str">
        <f t="shared" si="0"/>
        <v>04.11 -Ped 047269 -STOSKI -TR MAQ -R$910 -NF 177</v>
      </c>
    </row>
    <row r="19" spans="1:12" ht="14.45" hidden="1">
      <c r="A19" s="4" t="s">
        <v>452</v>
      </c>
      <c r="B19" s="1" t="s">
        <v>426</v>
      </c>
      <c r="C19" s="16">
        <v>45966</v>
      </c>
      <c r="D19" s="1" t="s">
        <v>470</v>
      </c>
      <c r="E19" s="1" t="str">
        <f>_xlfn.XLOOKUP(F19,UTIL!Q:Q,UTIL!N:N,"-")</f>
        <v>080227796</v>
      </c>
      <c r="F19" s="15" t="s">
        <v>471</v>
      </c>
      <c r="G19" s="14">
        <v>529.48</v>
      </c>
      <c r="H19" s="4" t="s">
        <v>429</v>
      </c>
      <c r="I19" s="15">
        <v>348407</v>
      </c>
      <c r="J19" s="16">
        <v>45967</v>
      </c>
      <c r="K19" s="71" t="s">
        <v>472</v>
      </c>
      <c r="L19" s="15" t="str">
        <f t="shared" si="0"/>
        <v>05.11 -Ped 047348 -PRINCESA -TR PEÇA -R$529,48 -NF 348407</v>
      </c>
    </row>
    <row r="20" spans="1:12" ht="14.45" hidden="1">
      <c r="A20" s="4" t="s">
        <v>452</v>
      </c>
      <c r="B20" s="1" t="s">
        <v>426</v>
      </c>
      <c r="C20" s="16">
        <v>45966</v>
      </c>
      <c r="D20" s="1" t="s">
        <v>470</v>
      </c>
      <c r="E20" s="1" t="str">
        <f>_xlfn.XLOOKUP(F20,UTIL!Q:Q,UTIL!N:N,"-")</f>
        <v>080227796</v>
      </c>
      <c r="F20" s="15" t="s">
        <v>471</v>
      </c>
      <c r="G20" s="14">
        <v>371.14</v>
      </c>
      <c r="H20" s="4" t="s">
        <v>429</v>
      </c>
      <c r="I20" s="15">
        <v>336939</v>
      </c>
      <c r="J20" s="16">
        <v>45967</v>
      </c>
      <c r="K20" s="71" t="s">
        <v>472</v>
      </c>
      <c r="L20" s="15" t="str">
        <f t="shared" si="0"/>
        <v>05.11 -Ped 047348 -PRINCESA -TR PEÇA -R$371,14 -NF 336939</v>
      </c>
    </row>
    <row r="21" spans="1:12" ht="14.45" hidden="1">
      <c r="A21" s="4" t="s">
        <v>452</v>
      </c>
      <c r="B21" s="1" t="s">
        <v>449</v>
      </c>
      <c r="C21" s="16">
        <v>45964</v>
      </c>
      <c r="D21" s="1" t="s">
        <v>473</v>
      </c>
      <c r="E21" s="1" t="str">
        <f>_xlfn.XLOOKUP(F21,UTIL!Q:Q,UTIL!N:N,"-")</f>
        <v>049138592</v>
      </c>
      <c r="F21" s="15" t="s">
        <v>459</v>
      </c>
      <c r="G21" s="14">
        <v>550</v>
      </c>
      <c r="H21" s="4" t="s">
        <v>429</v>
      </c>
      <c r="I21" s="15">
        <v>246</v>
      </c>
      <c r="J21" s="16">
        <v>45968</v>
      </c>
      <c r="K21" s="71"/>
      <c r="L21" s="15" t="str">
        <f t="shared" si="0"/>
        <v>03.11 -Ped 047246 -DELTA MOTOS COURIER -R$550 -NF 246</v>
      </c>
    </row>
    <row r="22" spans="1:12" ht="14.45" hidden="1">
      <c r="A22" s="4" t="s">
        <v>466</v>
      </c>
      <c r="B22" s="1" t="s">
        <v>205</v>
      </c>
      <c r="C22" s="16">
        <v>45965</v>
      </c>
      <c r="D22" s="1" t="s">
        <v>474</v>
      </c>
      <c r="E22" s="1" t="str">
        <f>_xlfn.XLOOKUP(F22,UTIL!Q:Q,UTIL!N:N,"-")</f>
        <v>006914002</v>
      </c>
      <c r="F22" s="15" t="s">
        <v>475</v>
      </c>
      <c r="G22" s="14">
        <v>1295</v>
      </c>
      <c r="H22" s="4" t="s">
        <v>429</v>
      </c>
      <c r="I22" s="15">
        <v>186</v>
      </c>
      <c r="J22" s="16">
        <v>45968</v>
      </c>
      <c r="K22" s="71" t="s">
        <v>476</v>
      </c>
      <c r="L22" s="15" t="str">
        <f t="shared" si="0"/>
        <v>04.11 -Ped 047315 -TRANSCAPITINGA-TR MAQ -R$1295 -NF 186</v>
      </c>
    </row>
    <row r="23" spans="1:12" ht="14.45" hidden="1">
      <c r="A23" s="4" t="s">
        <v>466</v>
      </c>
      <c r="B23" s="1" t="s">
        <v>205</v>
      </c>
      <c r="C23" s="16">
        <v>45966</v>
      </c>
      <c r="D23" s="1" t="s">
        <v>474</v>
      </c>
      <c r="E23" s="1" t="str">
        <f>_xlfn.XLOOKUP(F23,UTIL!Q:Q,UTIL!N:N,"-")</f>
        <v>006914002</v>
      </c>
      <c r="F23" s="15" t="s">
        <v>475</v>
      </c>
      <c r="G23" s="14">
        <v>975</v>
      </c>
      <c r="H23" s="4" t="s">
        <v>429</v>
      </c>
      <c r="I23" s="15">
        <v>186</v>
      </c>
      <c r="J23" s="16">
        <v>45968</v>
      </c>
      <c r="K23" s="71" t="s">
        <v>477</v>
      </c>
      <c r="L23" s="15" t="str">
        <f t="shared" si="0"/>
        <v>05.11 -Ped 047315 -TRANSCAPITINGA-TR MAQ -R$975 -NF 186</v>
      </c>
    </row>
    <row r="24" spans="1:12" ht="14.45" hidden="1">
      <c r="A24" s="4" t="s">
        <v>452</v>
      </c>
      <c r="B24" s="1" t="s">
        <v>307</v>
      </c>
      <c r="C24" s="16">
        <v>45967</v>
      </c>
      <c r="D24" s="1" t="s">
        <v>478</v>
      </c>
      <c r="E24" s="1" t="str">
        <f>_xlfn.XLOOKUP(F24,UTIL!Q:Q,UTIL!N:N,"-")</f>
        <v>012772524</v>
      </c>
      <c r="F24" s="15" t="s">
        <v>479</v>
      </c>
      <c r="G24" s="14">
        <v>1860</v>
      </c>
      <c r="H24" s="4" t="s">
        <v>429</v>
      </c>
      <c r="I24" s="15">
        <v>3300</v>
      </c>
      <c r="J24" s="16">
        <v>45968</v>
      </c>
      <c r="K24" s="71" t="s">
        <v>480</v>
      </c>
      <c r="L24" s="15" t="str">
        <f t="shared" si="0"/>
        <v>06.11 -Ped 047349 -UNIBOY COURIER -R$1860 -NF 3300</v>
      </c>
    </row>
    <row r="25" spans="1:12" ht="14.45" hidden="1">
      <c r="A25" s="4" t="s">
        <v>452</v>
      </c>
      <c r="B25" s="1" t="s">
        <v>153</v>
      </c>
      <c r="C25" s="16">
        <v>45964</v>
      </c>
      <c r="D25" s="1" t="s">
        <v>481</v>
      </c>
      <c r="E25" s="1" t="str">
        <f>_xlfn.XLOOKUP(F25,UTIL!Q:Q,UTIL!N:N,"-")</f>
        <v>049138592</v>
      </c>
      <c r="F25" s="15" t="s">
        <v>459</v>
      </c>
      <c r="G25" s="14">
        <v>180</v>
      </c>
      <c r="H25" s="4" t="s">
        <v>429</v>
      </c>
      <c r="I25" s="15">
        <v>245</v>
      </c>
      <c r="J25" s="16">
        <v>45969</v>
      </c>
      <c r="K25" s="71" t="s">
        <v>482</v>
      </c>
      <c r="L25" s="15" t="str">
        <f t="shared" si="0"/>
        <v>03.11 -Ped 047233 -DELTA MOTOS COURIER -R$180 -NF 245</v>
      </c>
    </row>
    <row r="26" spans="1:12" ht="14.45" hidden="1">
      <c r="A26" s="4" t="s">
        <v>452</v>
      </c>
      <c r="B26" s="1" t="s">
        <v>205</v>
      </c>
      <c r="C26" s="16">
        <v>45964</v>
      </c>
      <c r="D26" s="1" t="s">
        <v>483</v>
      </c>
      <c r="E26" s="1" t="str">
        <f>_xlfn.XLOOKUP(F26,UTIL!Q:Q,UTIL!N:N,"-")</f>
        <v>049138592</v>
      </c>
      <c r="F26" s="15" t="s">
        <v>459</v>
      </c>
      <c r="G26" s="14">
        <v>990</v>
      </c>
      <c r="H26" s="4" t="s">
        <v>429</v>
      </c>
      <c r="I26" s="15">
        <v>244</v>
      </c>
      <c r="J26" s="16">
        <v>45970</v>
      </c>
      <c r="K26" s="71"/>
      <c r="L26" s="15" t="str">
        <f t="shared" si="0"/>
        <v>03.11 -Ped 047243 -DELTA MOTOS COURIER -R$990 -NF 244</v>
      </c>
    </row>
    <row r="27" spans="1:12" ht="14.45" hidden="1">
      <c r="A27" s="4" t="s">
        <v>452</v>
      </c>
      <c r="B27" s="1" t="s">
        <v>446</v>
      </c>
      <c r="C27" s="16">
        <v>45964</v>
      </c>
      <c r="D27" s="1" t="s">
        <v>484</v>
      </c>
      <c r="E27" s="1" t="str">
        <f>_xlfn.XLOOKUP(F27,UTIL!Q:Q,UTIL!N:N,"-")</f>
        <v>049138592</v>
      </c>
      <c r="F27" s="15" t="s">
        <v>459</v>
      </c>
      <c r="G27" s="14">
        <v>245</v>
      </c>
      <c r="H27" s="4" t="s">
        <v>429</v>
      </c>
      <c r="I27" s="15">
        <v>243</v>
      </c>
      <c r="J27" s="16">
        <v>45971</v>
      </c>
      <c r="K27" s="71"/>
      <c r="L27" s="15" t="str">
        <f t="shared" si="0"/>
        <v>03.11 -Ped 047244 -DELTA MOTOS COURIER -R$245 -NF 243</v>
      </c>
    </row>
    <row r="28" spans="1:12" ht="14.45" hidden="1">
      <c r="A28" s="4" t="s">
        <v>452</v>
      </c>
      <c r="B28" s="1" t="s">
        <v>396</v>
      </c>
      <c r="C28" s="16">
        <v>45965</v>
      </c>
      <c r="D28" s="1" t="s">
        <v>485</v>
      </c>
      <c r="E28" s="1" t="str">
        <f>_xlfn.XLOOKUP(F28,UTIL!Q:Q,UTIL!N:N,"-")</f>
        <v>061196032</v>
      </c>
      <c r="F28" s="15" t="s">
        <v>454</v>
      </c>
      <c r="G28" s="14">
        <v>80</v>
      </c>
      <c r="H28" s="4" t="s">
        <v>429</v>
      </c>
      <c r="I28" s="15">
        <v>51</v>
      </c>
      <c r="J28" s="16">
        <v>45971</v>
      </c>
      <c r="K28" s="71"/>
      <c r="L28" s="15" t="str">
        <f t="shared" si="0"/>
        <v>04.11 -Ped 047437 -ANDREIA R. COURIER -R$80 -NF 51</v>
      </c>
    </row>
    <row r="29" spans="1:12" ht="14.45" hidden="1">
      <c r="A29" s="4" t="s">
        <v>452</v>
      </c>
      <c r="B29" s="1" t="s">
        <v>426</v>
      </c>
      <c r="C29" s="16">
        <v>45964</v>
      </c>
      <c r="D29" s="1" t="s">
        <v>486</v>
      </c>
      <c r="E29" s="1" t="str">
        <f>_xlfn.XLOOKUP(F29,UTIL!Q:Q,UTIL!N:N,"-")</f>
        <v>049138592</v>
      </c>
      <c r="F29" s="15" t="s">
        <v>459</v>
      </c>
      <c r="G29" s="14">
        <v>8245</v>
      </c>
      <c r="H29" s="4" t="s">
        <v>429</v>
      </c>
      <c r="I29" s="15">
        <v>242</v>
      </c>
      <c r="J29" s="16">
        <v>45972</v>
      </c>
      <c r="K29" s="71"/>
      <c r="L29" s="15" t="str">
        <f t="shared" si="0"/>
        <v>03.11 -Ped 047249 -DELTA MOTOS COURIER -R$8245 -NF 242</v>
      </c>
    </row>
    <row r="30" spans="1:12" ht="14.45" hidden="1">
      <c r="A30" s="4" t="s">
        <v>452</v>
      </c>
      <c r="B30" s="1" t="s">
        <v>396</v>
      </c>
      <c r="C30" s="16">
        <v>45964</v>
      </c>
      <c r="D30" s="1" t="s">
        <v>461</v>
      </c>
      <c r="E30" s="1" t="str">
        <f>_xlfn.XLOOKUP(F30,UTIL!Q:Q,UTIL!N:N,"-")</f>
        <v>061196032</v>
      </c>
      <c r="F30" s="15" t="s">
        <v>454</v>
      </c>
      <c r="G30" s="14">
        <v>200</v>
      </c>
      <c r="H30" s="4" t="s">
        <v>429</v>
      </c>
      <c r="I30" s="15" t="s">
        <v>487</v>
      </c>
      <c r="J30" s="16">
        <v>45972</v>
      </c>
      <c r="K30" s="71"/>
      <c r="L30" s="15" t="str">
        <f t="shared" si="0"/>
        <v>03.11 -Ped 047267 -ANDREIA R. COURIER -R$200 -NF FIN</v>
      </c>
    </row>
    <row r="31" spans="1:12" ht="14.45" hidden="1">
      <c r="A31" s="4" t="s">
        <v>425</v>
      </c>
      <c r="B31" s="1" t="s">
        <v>426</v>
      </c>
      <c r="C31" s="16">
        <v>45968</v>
      </c>
      <c r="D31" s="1" t="s">
        <v>488</v>
      </c>
      <c r="E31" s="1" t="str">
        <f>_xlfn.XLOOKUP(F31,UTIL!Q:Q,UTIL!N:N,"-")</f>
        <v>010273940</v>
      </c>
      <c r="F31" s="15" t="s">
        <v>489</v>
      </c>
      <c r="G31" s="14">
        <v>2780</v>
      </c>
      <c r="H31" s="4" t="s">
        <v>429</v>
      </c>
      <c r="I31" s="15">
        <v>2708</v>
      </c>
      <c r="J31" s="16">
        <v>45972</v>
      </c>
      <c r="K31" s="71" t="s">
        <v>490</v>
      </c>
      <c r="L31" s="15" t="str">
        <f t="shared" si="0"/>
        <v>07.11 -Ped 047383 -SERIE4 - MT 1 -R$2780 -NF 2708</v>
      </c>
    </row>
    <row r="32" spans="1:12" ht="14.45" hidden="1">
      <c r="A32" s="4" t="s">
        <v>425</v>
      </c>
      <c r="B32" s="1" t="s">
        <v>426</v>
      </c>
      <c r="C32" s="16">
        <v>45968</v>
      </c>
      <c r="D32" s="1" t="s">
        <v>488</v>
      </c>
      <c r="E32" s="1" t="str">
        <f>_xlfn.XLOOKUP(F32,UTIL!Q:Q,UTIL!N:N,"-")</f>
        <v>010273940</v>
      </c>
      <c r="F32" s="15" t="s">
        <v>489</v>
      </c>
      <c r="G32" s="14">
        <v>840</v>
      </c>
      <c r="H32" s="4" t="s">
        <v>429</v>
      </c>
      <c r="I32" s="15">
        <v>2374</v>
      </c>
      <c r="J32" s="16">
        <v>45972</v>
      </c>
      <c r="K32" s="71" t="s">
        <v>491</v>
      </c>
      <c r="L32" s="15" t="str">
        <f t="shared" si="0"/>
        <v>07.11 -Ped 047383 -SERIE4 - MT 1 -R$840 -NF 2374</v>
      </c>
    </row>
    <row r="33" spans="1:12" ht="14.45" hidden="1">
      <c r="A33" s="4" t="s">
        <v>452</v>
      </c>
      <c r="B33" s="1" t="s">
        <v>449</v>
      </c>
      <c r="C33" s="16">
        <v>45965</v>
      </c>
      <c r="D33" s="72" t="s">
        <v>492</v>
      </c>
      <c r="E33" s="1" t="str">
        <f>_xlfn.XLOOKUP(F33,UTIL!Q:Q,UTIL!N:N,"-")</f>
        <v>051496564</v>
      </c>
      <c r="F33" s="15" t="s">
        <v>462</v>
      </c>
      <c r="G33" s="14">
        <v>400</v>
      </c>
      <c r="H33" s="4" t="s">
        <v>429</v>
      </c>
      <c r="I33" s="15">
        <v>420</v>
      </c>
      <c r="J33" s="16">
        <v>45973</v>
      </c>
      <c r="K33" s="71" t="s">
        <v>493</v>
      </c>
      <c r="L33" s="15" t="str">
        <f t="shared" si="0"/>
        <v>04.11 -Ped 047525 -MARCOS D. COURIER -R$400 -NF 420</v>
      </c>
    </row>
    <row r="34" spans="1:12" ht="14.45" hidden="1">
      <c r="A34" s="4" t="s">
        <v>452</v>
      </c>
      <c r="B34" s="1" t="s">
        <v>449</v>
      </c>
      <c r="C34" s="16">
        <v>45971</v>
      </c>
      <c r="D34" s="72" t="s">
        <v>492</v>
      </c>
      <c r="E34" s="1" t="str">
        <f>_xlfn.XLOOKUP(F34,UTIL!Q:Q,UTIL!N:N,"-")</f>
        <v>051496564</v>
      </c>
      <c r="F34" s="15" t="s">
        <v>462</v>
      </c>
      <c r="G34" s="14">
        <v>250</v>
      </c>
      <c r="H34" s="4" t="s">
        <v>429</v>
      </c>
      <c r="I34" s="15">
        <v>420</v>
      </c>
      <c r="J34" s="16">
        <v>45973</v>
      </c>
      <c r="K34" s="71" t="s">
        <v>494</v>
      </c>
      <c r="L34" s="15" t="str">
        <f t="shared" ref="L34:L65" si="1">TEXT($C34,"dd.mm") &amp; " -Ped " &amp; D34 &amp; " -" &amp; F34 &amp; " -R$" &amp; G34 &amp; IF(LEN(TRIM(I34))=0, "", " -NF " &amp; TRIM(I34))</f>
        <v>10.11 -Ped 047525 -MARCOS D. COURIER -R$250 -NF 420</v>
      </c>
    </row>
    <row r="35" spans="1:12" ht="14.45" hidden="1">
      <c r="A35" s="4" t="s">
        <v>452</v>
      </c>
      <c r="B35" s="1" t="s">
        <v>449</v>
      </c>
      <c r="C35" s="16">
        <v>45968</v>
      </c>
      <c r="D35" s="72" t="s">
        <v>495</v>
      </c>
      <c r="E35" s="1" t="str">
        <f>_xlfn.XLOOKUP(F35,UTIL!Q:Q,UTIL!N:N,"-")</f>
        <v>051496564</v>
      </c>
      <c r="F35" s="15" t="s">
        <v>462</v>
      </c>
      <c r="G35" s="14">
        <v>420</v>
      </c>
      <c r="H35" s="4" t="s">
        <v>429</v>
      </c>
      <c r="I35" s="15">
        <v>421</v>
      </c>
      <c r="J35" s="16">
        <v>45973</v>
      </c>
      <c r="K35" s="71" t="s">
        <v>496</v>
      </c>
      <c r="L35" s="15" t="str">
        <f t="shared" si="1"/>
        <v>07.11 -Ped 047527 -MARCOS D. COURIER -R$420 -NF 421</v>
      </c>
    </row>
    <row r="36" spans="1:12" ht="14.45" hidden="1">
      <c r="A36" s="4" t="s">
        <v>452</v>
      </c>
      <c r="B36" s="1" t="s">
        <v>446</v>
      </c>
      <c r="C36" s="16">
        <v>45971</v>
      </c>
      <c r="D36" s="72" t="s">
        <v>497</v>
      </c>
      <c r="E36" s="1" t="str">
        <f>_xlfn.XLOOKUP(F36,UTIL!Q:Q,UTIL!N:N,"-")</f>
        <v>031370636</v>
      </c>
      <c r="F36" s="15" t="s">
        <v>498</v>
      </c>
      <c r="G36" s="14">
        <v>700</v>
      </c>
      <c r="H36" s="4" t="s">
        <v>429</v>
      </c>
      <c r="I36" s="15">
        <v>10</v>
      </c>
      <c r="J36" s="16">
        <v>45973</v>
      </c>
      <c r="K36" s="71"/>
      <c r="L36" s="15" t="str">
        <f t="shared" si="1"/>
        <v>10.11 -Ped 047550 -JORGE LUIZ 2 COURIER -R$700 -NF 10</v>
      </c>
    </row>
    <row r="37" spans="1:12" ht="14.45" hidden="1">
      <c r="A37" s="4" t="s">
        <v>425</v>
      </c>
      <c r="B37" s="1" t="s">
        <v>426</v>
      </c>
      <c r="C37" s="16">
        <v>45967</v>
      </c>
      <c r="D37" s="72" t="s">
        <v>499</v>
      </c>
      <c r="E37" s="1" t="str">
        <f>_xlfn.XLOOKUP(F37,UTIL!Q:Q,UTIL!N:N,"-")</f>
        <v>050435638</v>
      </c>
      <c r="F37" s="15" t="s">
        <v>500</v>
      </c>
      <c r="G37" s="14">
        <v>500</v>
      </c>
      <c r="H37" s="4" t="s">
        <v>429</v>
      </c>
      <c r="I37" s="15">
        <v>1412</v>
      </c>
      <c r="J37" s="16">
        <v>45973</v>
      </c>
      <c r="K37" s="71" t="s">
        <v>501</v>
      </c>
      <c r="L37" s="15" t="str">
        <f t="shared" si="1"/>
        <v>06.11 -Ped 047553 -ANDREANI - MT -R$500 -NF 1412</v>
      </c>
    </row>
    <row r="38" spans="1:12" ht="14.45" hidden="1">
      <c r="A38" s="4" t="s">
        <v>425</v>
      </c>
      <c r="B38" s="1" t="s">
        <v>426</v>
      </c>
      <c r="C38" s="16">
        <v>45967</v>
      </c>
      <c r="D38" s="72" t="s">
        <v>499</v>
      </c>
      <c r="E38" s="1" t="str">
        <f>_xlfn.XLOOKUP(F38,UTIL!Q:Q,UTIL!N:N,"-")</f>
        <v>050435638</v>
      </c>
      <c r="F38" s="15" t="s">
        <v>500</v>
      </c>
      <c r="G38" s="14">
        <v>397</v>
      </c>
      <c r="H38" s="4" t="s">
        <v>429</v>
      </c>
      <c r="I38" s="15">
        <v>189</v>
      </c>
      <c r="J38" s="16">
        <v>45973</v>
      </c>
      <c r="K38" s="71" t="s">
        <v>502</v>
      </c>
      <c r="L38" s="15" t="str">
        <f t="shared" si="1"/>
        <v>06.11 -Ped 047553 -ANDREANI - MT -R$397 -NF 189</v>
      </c>
    </row>
    <row r="39" spans="1:12" ht="14.45" hidden="1">
      <c r="A39" s="4" t="s">
        <v>452</v>
      </c>
      <c r="B39" s="1" t="s">
        <v>307</v>
      </c>
      <c r="C39" s="16">
        <v>45972</v>
      </c>
      <c r="D39" s="72" t="s">
        <v>503</v>
      </c>
      <c r="E39" s="1" t="str">
        <f>_xlfn.XLOOKUP(F39,UTIL!Q:Q,UTIL!N:N,"-")</f>
        <v>059376166</v>
      </c>
      <c r="F39" s="15" t="s">
        <v>504</v>
      </c>
      <c r="G39" s="14">
        <v>2390</v>
      </c>
      <c r="H39" s="4" t="s">
        <v>429</v>
      </c>
      <c r="I39" s="15">
        <v>155</v>
      </c>
      <c r="J39" s="16">
        <v>45974</v>
      </c>
      <c r="K39" s="71" t="s">
        <v>480</v>
      </c>
      <c r="L39" s="15" t="str">
        <f t="shared" si="1"/>
        <v>11.11 -Ped 047685 -JOSEAMILTON1 COURIER -R$2390 -NF 155</v>
      </c>
    </row>
    <row r="40" spans="1:12" ht="14.45" hidden="1">
      <c r="A40" s="4" t="s">
        <v>452</v>
      </c>
      <c r="B40" s="1" t="s">
        <v>396</v>
      </c>
      <c r="C40" s="16">
        <v>45973</v>
      </c>
      <c r="D40" s="72" t="s">
        <v>505</v>
      </c>
      <c r="E40" s="1" t="str">
        <f>_xlfn.XLOOKUP(F40,UTIL!Q:Q,UTIL!N:N,"-")</f>
        <v>061196032</v>
      </c>
      <c r="F40" s="15" t="s">
        <v>454</v>
      </c>
      <c r="G40" s="14">
        <v>70</v>
      </c>
      <c r="H40" s="4" t="s">
        <v>429</v>
      </c>
      <c r="I40" s="15">
        <v>54</v>
      </c>
      <c r="J40" s="16">
        <v>45975</v>
      </c>
      <c r="K40" s="71" t="s">
        <v>480</v>
      </c>
      <c r="L40" s="15" t="str">
        <f t="shared" si="1"/>
        <v>12.11 -Ped 047687 -ANDREIA R. COURIER -R$70 -NF 54</v>
      </c>
    </row>
    <row r="41" spans="1:12" ht="14.45" hidden="1">
      <c r="A41" s="4" t="s">
        <v>506</v>
      </c>
      <c r="B41" s="1" t="s">
        <v>205</v>
      </c>
      <c r="C41" s="16">
        <v>45975</v>
      </c>
      <c r="D41" s="72" t="s">
        <v>507</v>
      </c>
      <c r="E41" s="1" t="str">
        <f>_xlfn.XLOOKUP(F41,UTIL!Q:Q,UTIL!N:N,"-")</f>
        <v>006914002</v>
      </c>
      <c r="F41" s="15" t="s">
        <v>475</v>
      </c>
      <c r="G41" s="14">
        <v>800</v>
      </c>
      <c r="H41" s="4" t="s">
        <v>429</v>
      </c>
      <c r="I41" s="15">
        <v>190</v>
      </c>
      <c r="J41" s="16">
        <v>45975</v>
      </c>
      <c r="K41" s="71" t="s">
        <v>508</v>
      </c>
      <c r="L41" s="15" t="str">
        <f t="shared" si="1"/>
        <v>14.11 -Ped 047738 -TRANSCAPITINGA-TR MAQ -R$800 -NF 190</v>
      </c>
    </row>
    <row r="42" spans="1:12" ht="14.45" hidden="1">
      <c r="A42" s="4" t="s">
        <v>440</v>
      </c>
      <c r="B42" s="1" t="s">
        <v>426</v>
      </c>
      <c r="C42" s="16">
        <v>45968</v>
      </c>
      <c r="D42" s="72" t="s">
        <v>509</v>
      </c>
      <c r="E42" s="1" t="str">
        <f>_xlfn.XLOOKUP(F42,UTIL!Q:Q,UTIL!N:N,"-")</f>
        <v>080227796</v>
      </c>
      <c r="F42" s="15" t="s">
        <v>471</v>
      </c>
      <c r="G42" s="14">
        <v>345.91</v>
      </c>
      <c r="H42" s="4" t="s">
        <v>429</v>
      </c>
      <c r="I42" s="15">
        <v>352387</v>
      </c>
      <c r="J42" s="16">
        <v>45975</v>
      </c>
      <c r="K42" s="71" t="s">
        <v>510</v>
      </c>
      <c r="L42" s="15" t="str">
        <f t="shared" si="1"/>
        <v>07.11 -Ped 047750 -PRINCESA -TR PEÇA -R$345,91 -NF 352387</v>
      </c>
    </row>
    <row r="43" spans="1:12" ht="14.45" hidden="1">
      <c r="A43" s="4" t="s">
        <v>440</v>
      </c>
      <c r="B43" s="1" t="s">
        <v>426</v>
      </c>
      <c r="C43" s="16">
        <v>45968</v>
      </c>
      <c r="D43" s="72" t="s">
        <v>509</v>
      </c>
      <c r="E43" s="1" t="str">
        <f>_xlfn.XLOOKUP(F43,UTIL!Q:Q,UTIL!N:N,"-")</f>
        <v>080227796</v>
      </c>
      <c r="F43" s="15" t="s">
        <v>471</v>
      </c>
      <c r="G43" s="14">
        <v>49.74</v>
      </c>
      <c r="H43" s="4" t="s">
        <v>429</v>
      </c>
      <c r="I43" s="15">
        <v>352389</v>
      </c>
      <c r="J43" s="16">
        <v>45975</v>
      </c>
      <c r="K43" s="71" t="s">
        <v>511</v>
      </c>
      <c r="L43" s="15" t="str">
        <f t="shared" si="1"/>
        <v>07.11 -Ped 047750 -PRINCESA -TR PEÇA -R$49,74 -NF 352389</v>
      </c>
    </row>
    <row r="44" spans="1:12" ht="14.45" hidden="1">
      <c r="A44" s="4" t="s">
        <v>440</v>
      </c>
      <c r="B44" s="1" t="s">
        <v>426</v>
      </c>
      <c r="C44" s="16">
        <v>45968</v>
      </c>
      <c r="D44" s="72" t="s">
        <v>509</v>
      </c>
      <c r="E44" s="1" t="str">
        <f>_xlfn.XLOOKUP(F44,UTIL!Q:Q,UTIL!N:N,"-")</f>
        <v>080227796</v>
      </c>
      <c r="F44" s="15" t="s">
        <v>471</v>
      </c>
      <c r="G44" s="14">
        <v>46.32</v>
      </c>
      <c r="H44" s="4" t="s">
        <v>429</v>
      </c>
      <c r="I44" s="15">
        <v>355838</v>
      </c>
      <c r="J44" s="16">
        <v>45975</v>
      </c>
      <c r="K44" s="71" t="s">
        <v>511</v>
      </c>
      <c r="L44" s="15" t="str">
        <f t="shared" si="1"/>
        <v>07.11 -Ped 047750 -PRINCESA -TR PEÇA -R$46,32 -NF 355838</v>
      </c>
    </row>
    <row r="45" spans="1:12" ht="14.45" hidden="1">
      <c r="A45" s="4" t="s">
        <v>440</v>
      </c>
      <c r="B45" s="1" t="s">
        <v>426</v>
      </c>
      <c r="C45" s="16">
        <v>45971</v>
      </c>
      <c r="D45" s="72" t="s">
        <v>512</v>
      </c>
      <c r="E45" s="1" t="str">
        <f>_xlfn.XLOOKUP(F45,UTIL!Q:Q,UTIL!N:N,"-")</f>
        <v>056953013</v>
      </c>
      <c r="F45" s="15" t="s">
        <v>513</v>
      </c>
      <c r="G45" s="14">
        <v>884.29</v>
      </c>
      <c r="H45" s="4" t="s">
        <v>429</v>
      </c>
      <c r="I45" s="15">
        <v>775</v>
      </c>
      <c r="J45" s="16">
        <v>45975</v>
      </c>
      <c r="K45" s="71" t="s">
        <v>514</v>
      </c>
      <c r="L45" s="15" t="str">
        <f t="shared" si="1"/>
        <v>10.11 -Ped 047757 -CARGADEDICADA -TR PEÇA -R$884,29 -NF 775</v>
      </c>
    </row>
    <row r="46" spans="1:12" ht="14.45" hidden="1">
      <c r="A46" s="4" t="s">
        <v>440</v>
      </c>
      <c r="B46" s="1" t="s">
        <v>426</v>
      </c>
      <c r="C46" s="16">
        <v>45971</v>
      </c>
      <c r="D46" s="72" t="s">
        <v>512</v>
      </c>
      <c r="E46" s="1" t="str">
        <f>_xlfn.XLOOKUP(F46,UTIL!Q:Q,UTIL!N:N,"-")</f>
        <v>056953013</v>
      </c>
      <c r="F46" s="15" t="s">
        <v>513</v>
      </c>
      <c r="G46" s="14">
        <v>884.29</v>
      </c>
      <c r="H46" s="4" t="s">
        <v>429</v>
      </c>
      <c r="I46" s="15">
        <v>776</v>
      </c>
      <c r="J46" s="16">
        <v>45975</v>
      </c>
      <c r="K46" s="71" t="s">
        <v>514</v>
      </c>
      <c r="L46" s="15" t="str">
        <f t="shared" si="1"/>
        <v>10.11 -Ped 047757 -CARGADEDICADA -TR PEÇA -R$884,29 -NF 776</v>
      </c>
    </row>
    <row r="47" spans="1:12" ht="15" hidden="1" customHeight="1">
      <c r="A47" s="4" t="s">
        <v>440</v>
      </c>
      <c r="B47" s="1" t="s">
        <v>426</v>
      </c>
      <c r="C47" s="16">
        <v>45971</v>
      </c>
      <c r="D47" s="72" t="s">
        <v>512</v>
      </c>
      <c r="E47" s="1" t="str">
        <f>_xlfn.XLOOKUP(F47,UTIL!Q:Q,UTIL!N:N,"-")</f>
        <v>056953013</v>
      </c>
      <c r="F47" s="15" t="s">
        <v>513</v>
      </c>
      <c r="G47" s="14">
        <v>884.29</v>
      </c>
      <c r="H47" s="4" t="s">
        <v>429</v>
      </c>
      <c r="I47" s="15">
        <v>777</v>
      </c>
      <c r="J47" s="16">
        <v>45975</v>
      </c>
      <c r="K47" s="71" t="s">
        <v>514</v>
      </c>
      <c r="L47" s="15" t="str">
        <f t="shared" si="1"/>
        <v>10.11 -Ped 047757 -CARGADEDICADA -TR PEÇA -R$884,29 -NF 777</v>
      </c>
    </row>
    <row r="48" spans="1:12" ht="15" hidden="1" customHeight="1">
      <c r="A48" s="4" t="s">
        <v>440</v>
      </c>
      <c r="B48" s="1" t="s">
        <v>426</v>
      </c>
      <c r="C48" s="16">
        <v>45971</v>
      </c>
      <c r="D48" s="72" t="s">
        <v>512</v>
      </c>
      <c r="E48" s="1" t="str">
        <f>_xlfn.XLOOKUP(F48,UTIL!Q:Q,UTIL!N:N,"-")</f>
        <v>056953013</v>
      </c>
      <c r="F48" s="15" t="s">
        <v>513</v>
      </c>
      <c r="G48" s="14">
        <v>884.29</v>
      </c>
      <c r="H48" s="4" t="s">
        <v>429</v>
      </c>
      <c r="I48" s="15">
        <v>778</v>
      </c>
      <c r="J48" s="16">
        <v>45975</v>
      </c>
      <c r="K48" s="71" t="s">
        <v>514</v>
      </c>
      <c r="L48" s="15" t="str">
        <f t="shared" si="1"/>
        <v>10.11 -Ped 047757 -CARGADEDICADA -TR PEÇA -R$884,29 -NF 778</v>
      </c>
    </row>
    <row r="49" spans="1:12" ht="15" hidden="1" customHeight="1">
      <c r="A49" s="4" t="s">
        <v>440</v>
      </c>
      <c r="B49" s="1" t="s">
        <v>426</v>
      </c>
      <c r="C49" s="16">
        <v>45971</v>
      </c>
      <c r="D49" s="72" t="s">
        <v>512</v>
      </c>
      <c r="E49" s="1" t="str">
        <f>_xlfn.XLOOKUP(F49,UTIL!Q:Q,UTIL!N:N,"-")</f>
        <v>056953013</v>
      </c>
      <c r="F49" s="15" t="s">
        <v>513</v>
      </c>
      <c r="G49" s="14">
        <v>884.29</v>
      </c>
      <c r="H49" s="4" t="s">
        <v>429</v>
      </c>
      <c r="I49" s="15">
        <v>779</v>
      </c>
      <c r="J49" s="16">
        <v>45975</v>
      </c>
      <c r="K49" s="71" t="s">
        <v>514</v>
      </c>
      <c r="L49" s="15" t="str">
        <f t="shared" si="1"/>
        <v>10.11 -Ped 047757 -CARGADEDICADA -TR PEÇA -R$884,29 -NF 779</v>
      </c>
    </row>
    <row r="50" spans="1:12" ht="15" hidden="1" customHeight="1">
      <c r="A50" s="4" t="s">
        <v>440</v>
      </c>
      <c r="B50" s="1" t="s">
        <v>426</v>
      </c>
      <c r="C50" s="16">
        <v>45971</v>
      </c>
      <c r="D50" s="72" t="s">
        <v>512</v>
      </c>
      <c r="E50" s="1" t="str">
        <f>_xlfn.XLOOKUP(F50,UTIL!Q:Q,UTIL!N:N,"-")</f>
        <v>056953013</v>
      </c>
      <c r="F50" s="15" t="s">
        <v>513</v>
      </c>
      <c r="G50" s="14">
        <v>884.29</v>
      </c>
      <c r="H50" s="4" t="s">
        <v>429</v>
      </c>
      <c r="I50" s="15">
        <v>781</v>
      </c>
      <c r="J50" s="16">
        <v>45975</v>
      </c>
      <c r="K50" s="71" t="s">
        <v>514</v>
      </c>
      <c r="L50" s="15" t="str">
        <f t="shared" si="1"/>
        <v>10.11 -Ped 047757 -CARGADEDICADA -TR PEÇA -R$884,29 -NF 781</v>
      </c>
    </row>
    <row r="51" spans="1:12" ht="15" hidden="1" customHeight="1">
      <c r="A51" s="4" t="s">
        <v>440</v>
      </c>
      <c r="B51" s="1" t="s">
        <v>426</v>
      </c>
      <c r="C51" s="16">
        <v>45971</v>
      </c>
      <c r="D51" s="72" t="s">
        <v>512</v>
      </c>
      <c r="E51" s="1" t="str">
        <f>_xlfn.XLOOKUP(F51,UTIL!Q:Q,UTIL!N:N,"-")</f>
        <v>056953013</v>
      </c>
      <c r="F51" s="15" t="s">
        <v>513</v>
      </c>
      <c r="G51" s="14">
        <v>884.29</v>
      </c>
      <c r="H51" s="4" t="s">
        <v>429</v>
      </c>
      <c r="I51" s="15">
        <v>782</v>
      </c>
      <c r="J51" s="16">
        <v>45975</v>
      </c>
      <c r="K51" s="71" t="s">
        <v>514</v>
      </c>
      <c r="L51" s="15" t="str">
        <f t="shared" si="1"/>
        <v>10.11 -Ped 047757 -CARGADEDICADA -TR PEÇA -R$884,29 -NF 782</v>
      </c>
    </row>
    <row r="52" spans="1:12" ht="15" hidden="1" customHeight="1">
      <c r="A52" s="4" t="s">
        <v>466</v>
      </c>
      <c r="B52" s="1" t="s">
        <v>307</v>
      </c>
      <c r="C52" s="16">
        <v>45975</v>
      </c>
      <c r="D52" s="72" t="s">
        <v>515</v>
      </c>
      <c r="E52" s="1" t="str">
        <f>_xlfn.XLOOKUP(F52,UTIL!Q:Q,UTIL!N:N,"-")</f>
        <v>018725298</v>
      </c>
      <c r="F52" s="15" t="s">
        <v>516</v>
      </c>
      <c r="G52" s="14">
        <v>3662.3</v>
      </c>
      <c r="H52" s="4" t="s">
        <v>429</v>
      </c>
      <c r="I52" s="15">
        <v>469</v>
      </c>
      <c r="J52" s="16">
        <v>45979</v>
      </c>
      <c r="K52" s="71" t="s">
        <v>517</v>
      </c>
      <c r="L52" s="15" t="str">
        <f t="shared" si="1"/>
        <v>14.11 -Ped 047804 -MAZETTO -TR MAQ -R$3662,3 -NF 469</v>
      </c>
    </row>
    <row r="53" spans="1:12" ht="15" hidden="1" customHeight="1">
      <c r="A53" s="4" t="s">
        <v>466</v>
      </c>
      <c r="B53" s="1" t="s">
        <v>449</v>
      </c>
      <c r="C53" s="16">
        <v>45964</v>
      </c>
      <c r="D53" s="72" t="s">
        <v>518</v>
      </c>
      <c r="E53" s="1" t="str">
        <f>_xlfn.XLOOKUP(F53,UTIL!Q:Q,UTIL!N:N,"-")</f>
        <v>018725298</v>
      </c>
      <c r="F53" s="15" t="s">
        <v>516</v>
      </c>
      <c r="G53" s="14">
        <v>1352</v>
      </c>
      <c r="H53" s="4" t="s">
        <v>429</v>
      </c>
      <c r="I53" s="15">
        <v>1069</v>
      </c>
      <c r="J53" s="16">
        <v>45979</v>
      </c>
      <c r="K53" s="71" t="s">
        <v>519</v>
      </c>
      <c r="L53" s="15" t="str">
        <f t="shared" si="1"/>
        <v>03.11 -Ped 047805 -MAZETTO -TR MAQ -R$1352 -NF 1069</v>
      </c>
    </row>
    <row r="54" spans="1:12" ht="15" hidden="1" customHeight="1">
      <c r="A54" s="4" t="s">
        <v>520</v>
      </c>
      <c r="B54" s="1" t="s">
        <v>449</v>
      </c>
      <c r="C54" s="16">
        <v>45964</v>
      </c>
      <c r="D54" s="72" t="s">
        <v>518</v>
      </c>
      <c r="E54" s="1" t="str">
        <f>_xlfn.XLOOKUP(F54,UTIL!Q:Q,UTIL!N:N,"-")</f>
        <v>018725298</v>
      </c>
      <c r="F54" s="15" t="s">
        <v>516</v>
      </c>
      <c r="G54" s="14">
        <v>650</v>
      </c>
      <c r="H54" s="4" t="s">
        <v>429</v>
      </c>
      <c r="I54" s="15">
        <v>1068</v>
      </c>
      <c r="J54" s="16">
        <v>45979</v>
      </c>
      <c r="K54" s="71" t="s">
        <v>521</v>
      </c>
      <c r="L54" s="15" t="str">
        <f t="shared" si="1"/>
        <v>03.11 -Ped 047805 -MAZETTO -TR MAQ -R$650 -NF 1068</v>
      </c>
    </row>
    <row r="55" spans="1:12" ht="15" hidden="1" customHeight="1">
      <c r="A55" s="4" t="s">
        <v>522</v>
      </c>
      <c r="B55" s="1" t="s">
        <v>449</v>
      </c>
      <c r="C55" s="16">
        <v>45964</v>
      </c>
      <c r="D55" s="72" t="s">
        <v>518</v>
      </c>
      <c r="E55" s="1" t="str">
        <f>_xlfn.XLOOKUP(F55,UTIL!Q:Q,UTIL!N:N,"-")</f>
        <v>018725298</v>
      </c>
      <c r="F55" s="15" t="s">
        <v>516</v>
      </c>
      <c r="G55" s="14">
        <v>650</v>
      </c>
      <c r="H55" s="4" t="s">
        <v>429</v>
      </c>
      <c r="I55" s="15">
        <v>1068</v>
      </c>
      <c r="J55" s="16">
        <v>45979</v>
      </c>
      <c r="K55" s="71" t="s">
        <v>523</v>
      </c>
      <c r="L55" s="15" t="str">
        <f t="shared" si="1"/>
        <v>03.11 -Ped 047805 -MAZETTO -TR MAQ -R$650 -NF 1068</v>
      </c>
    </row>
    <row r="56" spans="1:12" ht="15" hidden="1" customHeight="1">
      <c r="A56" s="4" t="s">
        <v>466</v>
      </c>
      <c r="B56" s="1" t="s">
        <v>449</v>
      </c>
      <c r="C56" s="16">
        <v>45966</v>
      </c>
      <c r="D56" s="72" t="s">
        <v>518</v>
      </c>
      <c r="E56" s="1" t="str">
        <f>_xlfn.XLOOKUP(F56,UTIL!Q:Q,UTIL!N:N,"-")</f>
        <v>018725298</v>
      </c>
      <c r="F56" s="15" t="s">
        <v>516</v>
      </c>
      <c r="G56" s="14">
        <v>1458</v>
      </c>
      <c r="H56" s="4" t="s">
        <v>429</v>
      </c>
      <c r="I56" s="15">
        <v>1067</v>
      </c>
      <c r="J56" s="16">
        <v>45979</v>
      </c>
      <c r="K56" s="71" t="s">
        <v>524</v>
      </c>
      <c r="L56" s="15" t="str">
        <f t="shared" si="1"/>
        <v>05.11 -Ped 047805 -MAZETTO -TR MAQ -R$1458 -NF 1067</v>
      </c>
    </row>
    <row r="57" spans="1:12" ht="15" hidden="1" customHeight="1">
      <c r="A57" s="4" t="s">
        <v>466</v>
      </c>
      <c r="B57" s="1" t="s">
        <v>449</v>
      </c>
      <c r="C57" s="16">
        <v>45968</v>
      </c>
      <c r="D57" s="72" t="s">
        <v>525</v>
      </c>
      <c r="E57" s="1" t="str">
        <f>_xlfn.XLOOKUP(F57,UTIL!Q:Q,UTIL!N:N,"-")</f>
        <v>018725298</v>
      </c>
      <c r="F57" s="15" t="s">
        <v>516</v>
      </c>
      <c r="G57" s="14">
        <v>2890</v>
      </c>
      <c r="H57" s="4" t="s">
        <v>429</v>
      </c>
      <c r="I57" s="15">
        <v>1070</v>
      </c>
      <c r="J57" s="16">
        <v>45979</v>
      </c>
      <c r="K57" s="71" t="s">
        <v>526</v>
      </c>
      <c r="L57" s="15" t="str">
        <f t="shared" si="1"/>
        <v>07.11 -Ped 047806 -MAZETTO -TR MAQ -R$2890 -NF 1070</v>
      </c>
    </row>
    <row r="58" spans="1:12" ht="15" hidden="1" customHeight="1">
      <c r="A58" s="4" t="s">
        <v>466</v>
      </c>
      <c r="B58" s="1" t="s">
        <v>449</v>
      </c>
      <c r="C58" s="16">
        <v>45972</v>
      </c>
      <c r="D58" s="72" t="s">
        <v>525</v>
      </c>
      <c r="E58" s="1" t="str">
        <f>_xlfn.XLOOKUP(F58,UTIL!Q:Q,UTIL!N:N,"-")</f>
        <v>018725298</v>
      </c>
      <c r="F58" s="15" t="s">
        <v>516</v>
      </c>
      <c r="G58" s="14">
        <v>1389</v>
      </c>
      <c r="H58" s="4" t="s">
        <v>429</v>
      </c>
      <c r="I58" s="15">
        <v>468</v>
      </c>
      <c r="J58" s="16">
        <v>45979</v>
      </c>
      <c r="K58" s="71" t="s">
        <v>527</v>
      </c>
      <c r="L58" s="15" t="str">
        <f t="shared" si="1"/>
        <v>11.11 -Ped 047806 -MAZETTO -TR MAQ -R$1389 -NF 468</v>
      </c>
    </row>
    <row r="59" spans="1:12" ht="15" hidden="1" customHeight="1">
      <c r="A59" s="4" t="s">
        <v>506</v>
      </c>
      <c r="B59" s="1" t="s">
        <v>205</v>
      </c>
      <c r="C59" s="16">
        <v>45962</v>
      </c>
      <c r="D59" s="72" t="s">
        <v>474</v>
      </c>
      <c r="E59" s="1" t="str">
        <f>_xlfn.XLOOKUP(F59,UTIL!Q:Q,UTIL!N:N,"-")</f>
        <v>006914002</v>
      </c>
      <c r="F59" s="15" t="s">
        <v>475</v>
      </c>
      <c r="G59" s="14">
        <v>1000</v>
      </c>
      <c r="H59" s="4" t="s">
        <v>429</v>
      </c>
      <c r="K59" s="71" t="s">
        <v>528</v>
      </c>
      <c r="L59" s="15" t="str">
        <f t="shared" si="1"/>
        <v>01.11 -Ped 047315 -TRANSCAPITINGA-TR MAQ -R$1000</v>
      </c>
    </row>
    <row r="60" spans="1:12" ht="15" hidden="1" customHeight="1">
      <c r="A60" s="4" t="s">
        <v>452</v>
      </c>
      <c r="B60" s="1" t="s">
        <v>153</v>
      </c>
      <c r="C60" s="16">
        <v>45966</v>
      </c>
      <c r="D60" s="72" t="s">
        <v>529</v>
      </c>
      <c r="E60" s="1" t="str">
        <f>_xlfn.XLOOKUP(F60,UTIL!Q:Q,UTIL!N:N,"-")</f>
        <v>031370636</v>
      </c>
      <c r="F60" s="15" t="s">
        <v>498</v>
      </c>
      <c r="G60" s="14">
        <v>180</v>
      </c>
      <c r="H60" s="4" t="s">
        <v>429</v>
      </c>
      <c r="K60" s="71" t="s">
        <v>530</v>
      </c>
      <c r="L60" s="15" t="str">
        <f t="shared" si="1"/>
        <v>05.11 -Ped 047328 -JORGE LUIZ 2 COURIER -R$180</v>
      </c>
    </row>
    <row r="61" spans="1:12" ht="15" hidden="1" customHeight="1">
      <c r="A61" s="4" t="s">
        <v>466</v>
      </c>
      <c r="B61" s="1" t="s">
        <v>153</v>
      </c>
      <c r="C61" s="16">
        <v>45962</v>
      </c>
      <c r="D61" s="72" t="s">
        <v>531</v>
      </c>
      <c r="E61" s="1" t="str">
        <f>_xlfn.XLOOKUP(F61,UTIL!Q:Q,UTIL!N:N,"-")</f>
        <v>046304055</v>
      </c>
      <c r="F61" s="15" t="s">
        <v>532</v>
      </c>
      <c r="G61" s="14">
        <v>500</v>
      </c>
      <c r="H61" s="4" t="s">
        <v>429</v>
      </c>
      <c r="K61" s="71"/>
      <c r="L61" s="15" t="str">
        <f t="shared" si="1"/>
        <v>01.11 -Ped 047552 -GRICZYNSKI -TR MAQ -R$500</v>
      </c>
    </row>
    <row r="62" spans="1:12" ht="15" hidden="1" customHeight="1">
      <c r="A62" s="4" t="s">
        <v>466</v>
      </c>
      <c r="B62" s="1" t="s">
        <v>153</v>
      </c>
      <c r="C62" s="16">
        <v>45962</v>
      </c>
      <c r="D62" s="72" t="s">
        <v>531</v>
      </c>
      <c r="E62" s="1" t="str">
        <f>_xlfn.XLOOKUP(F62,UTIL!Q:Q,UTIL!N:N,"-")</f>
        <v>046304055</v>
      </c>
      <c r="F62" s="15" t="s">
        <v>532</v>
      </c>
      <c r="G62" s="14">
        <v>300</v>
      </c>
      <c r="H62" s="4" t="s">
        <v>429</v>
      </c>
      <c r="K62" s="71"/>
      <c r="L62" s="15" t="str">
        <f t="shared" si="1"/>
        <v>01.11 -Ped 047552 -GRICZYNSKI -TR MAQ -R$300</v>
      </c>
    </row>
    <row r="63" spans="1:12" ht="15" hidden="1" customHeight="1">
      <c r="A63" s="4" t="s">
        <v>466</v>
      </c>
      <c r="B63" s="1" t="s">
        <v>153</v>
      </c>
      <c r="C63" s="16">
        <v>45962</v>
      </c>
      <c r="D63" s="72" t="s">
        <v>531</v>
      </c>
      <c r="E63" s="1" t="str">
        <f>_xlfn.XLOOKUP(F63,UTIL!Q:Q,UTIL!N:N,"-")</f>
        <v>046304055</v>
      </c>
      <c r="F63" s="15" t="s">
        <v>532</v>
      </c>
      <c r="G63" s="14">
        <v>300</v>
      </c>
      <c r="H63" s="4" t="s">
        <v>429</v>
      </c>
      <c r="K63" s="71"/>
      <c r="L63" s="15" t="str">
        <f t="shared" si="1"/>
        <v>01.11 -Ped 047552 -GRICZYNSKI -TR MAQ -R$300</v>
      </c>
    </row>
    <row r="64" spans="1:12" ht="15" hidden="1" customHeight="1">
      <c r="A64" s="4" t="s">
        <v>466</v>
      </c>
      <c r="B64" s="1" t="s">
        <v>205</v>
      </c>
      <c r="C64" s="16">
        <v>45974</v>
      </c>
      <c r="D64" s="72" t="s">
        <v>533</v>
      </c>
      <c r="E64" s="1" t="str">
        <f>_xlfn.XLOOKUP(F64,UTIL!Q:Q,UTIL!N:N,"-")</f>
        <v>019320206</v>
      </c>
      <c r="F64" s="15" t="s">
        <v>534</v>
      </c>
      <c r="G64" s="14">
        <v>1000</v>
      </c>
      <c r="H64" s="4" t="s">
        <v>429</v>
      </c>
      <c r="K64" s="71" t="s">
        <v>535</v>
      </c>
      <c r="L64" s="15" t="str">
        <f t="shared" si="1"/>
        <v>13.11 -Ped 047572 -AGROMAQ -TR MAQ -R$1000</v>
      </c>
    </row>
    <row r="65" spans="1:12" ht="15" hidden="1" customHeight="1">
      <c r="A65" s="4" t="s">
        <v>506</v>
      </c>
      <c r="B65" s="1" t="s">
        <v>153</v>
      </c>
      <c r="C65" s="16">
        <v>45972</v>
      </c>
      <c r="D65" s="72" t="s">
        <v>536</v>
      </c>
      <c r="E65" s="1" t="str">
        <f>_xlfn.XLOOKUP(F65,UTIL!Q:Q,UTIL!N:N,"-")</f>
        <v>030877442</v>
      </c>
      <c r="F65" s="15" t="s">
        <v>537</v>
      </c>
      <c r="G65" s="14">
        <v>1262</v>
      </c>
      <c r="H65" s="4" t="s">
        <v>429</v>
      </c>
      <c r="K65" s="71" t="s">
        <v>538</v>
      </c>
      <c r="L65" s="15" t="str">
        <f t="shared" si="1"/>
        <v>11.11 -Ped 047573 -MUNCK IRATI -TR MAQ -R$1262</v>
      </c>
    </row>
    <row r="66" spans="1:12" ht="15" hidden="1" customHeight="1">
      <c r="A66" s="4" t="s">
        <v>432</v>
      </c>
      <c r="B66" s="1" t="s">
        <v>426</v>
      </c>
      <c r="C66" s="16">
        <v>45975</v>
      </c>
      <c r="D66" s="72" t="s">
        <v>539</v>
      </c>
      <c r="E66" s="1" t="str">
        <f>_xlfn.XLOOKUP(F66,UTIL!Q:Q,UTIL!N:N,"-")</f>
        <v>024586837</v>
      </c>
      <c r="F66" s="15" t="s">
        <v>540</v>
      </c>
      <c r="G66" s="14">
        <v>4175</v>
      </c>
      <c r="H66" s="4" t="s">
        <v>541</v>
      </c>
      <c r="K66" s="71" t="s">
        <v>542</v>
      </c>
      <c r="L66" s="15" t="str">
        <f t="shared" ref="L66:L89" si="2">TEXT($C66,"dd.mm") &amp; " -Ped " &amp; D66 &amp; " -" &amp; F66 &amp; " -R$" &amp; G66 &amp; IF(LEN(TRIM(I66))=0, "", " -NF " &amp; TRIM(I66))</f>
        <v>14.11 -Ped 047732 -SUL LONAS - MT -R$4175</v>
      </c>
    </row>
    <row r="67" spans="1:12" ht="15" hidden="1" customHeight="1">
      <c r="A67" s="4" t="s">
        <v>425</v>
      </c>
      <c r="B67" s="1" t="s">
        <v>426</v>
      </c>
      <c r="C67" s="16">
        <v>45975</v>
      </c>
      <c r="D67" s="72" t="s">
        <v>543</v>
      </c>
      <c r="E67" s="1" t="str">
        <f>_xlfn.XLOOKUP(F67,UTIL!Q:Q,UTIL!N:N,"-")</f>
        <v>037969440</v>
      </c>
      <c r="F67" s="15" t="s">
        <v>544</v>
      </c>
      <c r="G67" s="14">
        <v>800.04</v>
      </c>
      <c r="H67" s="4" t="s">
        <v>429</v>
      </c>
      <c r="K67" s="71" t="s">
        <v>545</v>
      </c>
      <c r="L67" s="15" t="str">
        <f t="shared" si="2"/>
        <v>14.11 -Ped 047733 -MEGA TRUCK ACESSORIOS - MT -R$800,04</v>
      </c>
    </row>
    <row r="68" spans="1:12" ht="15" hidden="1" customHeight="1">
      <c r="A68" s="4" t="s">
        <v>546</v>
      </c>
      <c r="B68" s="1" t="s">
        <v>205</v>
      </c>
      <c r="C68" s="16">
        <v>45975</v>
      </c>
      <c r="D68" s="72" t="s">
        <v>547</v>
      </c>
      <c r="E68" s="1" t="str">
        <f>_xlfn.XLOOKUP(F68,UTIL!Q:Q,UTIL!N:N,"-")</f>
        <v>019320206</v>
      </c>
      <c r="F68" s="15" t="s">
        <v>534</v>
      </c>
      <c r="G68" s="14">
        <v>300</v>
      </c>
      <c r="H68" s="4" t="s">
        <v>429</v>
      </c>
      <c r="K68" s="71"/>
      <c r="L68" s="15" t="str">
        <f t="shared" si="2"/>
        <v>14.11 -Ped 047752 -AGROMAQ -TR MAQ -R$300</v>
      </c>
    </row>
    <row r="69" spans="1:12" ht="15" hidden="1" customHeight="1">
      <c r="A69" s="4" t="s">
        <v>546</v>
      </c>
      <c r="B69" s="1" t="s">
        <v>205</v>
      </c>
      <c r="C69" s="16">
        <v>45975</v>
      </c>
      <c r="D69" s="72" t="s">
        <v>547</v>
      </c>
      <c r="E69" s="1" t="str">
        <f>_xlfn.XLOOKUP(F69,UTIL!Q:Q,UTIL!N:N,"-")</f>
        <v>019320206</v>
      </c>
      <c r="F69" s="15" t="s">
        <v>534</v>
      </c>
      <c r="G69" s="14">
        <v>300</v>
      </c>
      <c r="H69" s="4" t="s">
        <v>429</v>
      </c>
      <c r="K69" s="71"/>
      <c r="L69" s="15" t="str">
        <f t="shared" si="2"/>
        <v>14.11 -Ped 047752 -AGROMAQ -TR MAQ -R$300</v>
      </c>
    </row>
    <row r="70" spans="1:12" ht="15" hidden="1" customHeight="1">
      <c r="A70" s="4" t="s">
        <v>520</v>
      </c>
      <c r="B70" s="1" t="s">
        <v>205</v>
      </c>
      <c r="C70" s="16">
        <v>45975</v>
      </c>
      <c r="D70" s="72" t="s">
        <v>547</v>
      </c>
      <c r="E70" s="1" t="str">
        <f>_xlfn.XLOOKUP(F70,UTIL!Q:Q,UTIL!N:N,"-")</f>
        <v>019320206</v>
      </c>
      <c r="F70" s="15" t="s">
        <v>534</v>
      </c>
      <c r="G70" s="14">
        <v>800</v>
      </c>
      <c r="H70" s="4" t="s">
        <v>429</v>
      </c>
      <c r="K70" s="71"/>
      <c r="L70" s="15" t="str">
        <f t="shared" si="2"/>
        <v>14.11 -Ped 047752 -AGROMAQ -TR MAQ -R$800</v>
      </c>
    </row>
    <row r="71" spans="1:12" ht="15" hidden="1" customHeight="1">
      <c r="A71" s="4" t="s">
        <v>520</v>
      </c>
      <c r="B71" s="1" t="s">
        <v>205</v>
      </c>
      <c r="C71" s="16">
        <v>45975</v>
      </c>
      <c r="D71" s="72" t="s">
        <v>547</v>
      </c>
      <c r="E71" s="1" t="str">
        <f>_xlfn.XLOOKUP(F71,UTIL!Q:Q,UTIL!N:N,"-")</f>
        <v>019320206</v>
      </c>
      <c r="F71" s="15" t="s">
        <v>534</v>
      </c>
      <c r="G71" s="14">
        <v>800</v>
      </c>
      <c r="H71" s="4" t="s">
        <v>429</v>
      </c>
      <c r="K71" s="71"/>
      <c r="L71" s="15" t="str">
        <f t="shared" si="2"/>
        <v>14.11 -Ped 047752 -AGROMAQ -TR MAQ -R$800</v>
      </c>
    </row>
    <row r="72" spans="1:12" ht="15" hidden="1" customHeight="1">
      <c r="A72" s="4" t="s">
        <v>522</v>
      </c>
      <c r="B72" s="1" t="s">
        <v>205</v>
      </c>
      <c r="C72" s="16">
        <v>45975</v>
      </c>
      <c r="D72" s="72" t="s">
        <v>547</v>
      </c>
      <c r="E72" s="1" t="str">
        <f>_xlfn.XLOOKUP(F72,UTIL!Q:Q,UTIL!N:N,"-")</f>
        <v>019320206</v>
      </c>
      <c r="F72" s="15" t="s">
        <v>534</v>
      </c>
      <c r="G72" s="14">
        <v>400</v>
      </c>
      <c r="H72" s="4" t="s">
        <v>429</v>
      </c>
      <c r="K72" s="71"/>
      <c r="L72" s="15" t="str">
        <f t="shared" si="2"/>
        <v>14.11 -Ped 047752 -AGROMAQ -TR MAQ -R$400</v>
      </c>
    </row>
    <row r="73" spans="1:12" ht="15" hidden="1" customHeight="1">
      <c r="A73" s="4" t="s">
        <v>522</v>
      </c>
      <c r="B73" s="1" t="s">
        <v>205</v>
      </c>
      <c r="C73" s="16">
        <v>45975</v>
      </c>
      <c r="D73" s="72" t="s">
        <v>547</v>
      </c>
      <c r="E73" s="1" t="str">
        <f>_xlfn.XLOOKUP(F73,UTIL!Q:Q,UTIL!N:N,"-")</f>
        <v>019320206</v>
      </c>
      <c r="F73" s="15" t="s">
        <v>534</v>
      </c>
      <c r="G73" s="14">
        <v>400</v>
      </c>
      <c r="H73" s="4" t="s">
        <v>429</v>
      </c>
      <c r="K73" s="71"/>
      <c r="L73" s="15" t="str">
        <f t="shared" si="2"/>
        <v>14.11 -Ped 047752 -AGROMAQ -TR MAQ -R$400</v>
      </c>
    </row>
    <row r="74" spans="1:12" ht="15" hidden="1" customHeight="1">
      <c r="A74" s="4" t="s">
        <v>506</v>
      </c>
      <c r="B74" s="1" t="s">
        <v>449</v>
      </c>
      <c r="C74" s="16">
        <v>45974</v>
      </c>
      <c r="D74" s="72" t="s">
        <v>548</v>
      </c>
      <c r="E74" s="1" t="str">
        <f>_xlfn.XLOOKUP(F74,UTIL!Q:Q,UTIL!N:N,"-")</f>
        <v>061028125</v>
      </c>
      <c r="F74" s="15" t="s">
        <v>549</v>
      </c>
      <c r="G74" s="14">
        <v>270</v>
      </c>
      <c r="H74" s="4" t="s">
        <v>429</v>
      </c>
      <c r="K74" s="71" t="s">
        <v>550</v>
      </c>
      <c r="L74" s="15" t="str">
        <f t="shared" si="2"/>
        <v>13.11 -Ped 047758 -INCOMESPMUNCK -TR MAQ -R$270</v>
      </c>
    </row>
    <row r="75" spans="1:12" ht="15" hidden="1" customHeight="1">
      <c r="A75" s="4" t="s">
        <v>425</v>
      </c>
      <c r="B75" s="1" t="s">
        <v>426</v>
      </c>
      <c r="C75" s="16">
        <v>45975</v>
      </c>
      <c r="D75" s="72" t="s">
        <v>551</v>
      </c>
      <c r="E75" s="1" t="str">
        <f>_xlfn.XLOOKUP(F75,UTIL!Q:Q,UTIL!N:N,"-")</f>
        <v>010273940</v>
      </c>
      <c r="F75" s="15" t="s">
        <v>489</v>
      </c>
      <c r="G75" s="14">
        <v>216</v>
      </c>
      <c r="H75" s="4" t="s">
        <v>429</v>
      </c>
      <c r="K75" s="71" t="s">
        <v>552</v>
      </c>
      <c r="L75" s="15" t="str">
        <f t="shared" si="2"/>
        <v>14.11 -Ped 047800 -SERIE4 - MT 1 -R$216</v>
      </c>
    </row>
    <row r="76" spans="1:12" ht="15" hidden="1" customHeight="1">
      <c r="A76" s="4" t="s">
        <v>425</v>
      </c>
      <c r="B76" s="1" t="s">
        <v>426</v>
      </c>
      <c r="C76" s="16">
        <v>45975</v>
      </c>
      <c r="D76" s="72" t="s">
        <v>551</v>
      </c>
      <c r="E76" s="1" t="str">
        <f>_xlfn.XLOOKUP(F76,UTIL!Q:Q,UTIL!N:N,"-")</f>
        <v>010273940</v>
      </c>
      <c r="F76" s="15" t="s">
        <v>489</v>
      </c>
      <c r="G76" s="14">
        <v>120</v>
      </c>
      <c r="H76" s="4" t="s">
        <v>429</v>
      </c>
      <c r="K76" s="71" t="s">
        <v>553</v>
      </c>
      <c r="L76" s="15" t="str">
        <f t="shared" si="2"/>
        <v>14.11 -Ped 047800 -SERIE4 - MT 1 -R$120</v>
      </c>
    </row>
    <row r="77" spans="1:12" ht="15" hidden="1" customHeight="1">
      <c r="A77" s="4" t="s">
        <v>506</v>
      </c>
      <c r="B77" s="1" t="s">
        <v>426</v>
      </c>
      <c r="C77" s="16">
        <v>45973</v>
      </c>
      <c r="D77" s="72" t="s">
        <v>554</v>
      </c>
      <c r="E77" s="1" t="str">
        <f>_xlfn.XLOOKUP(F77,UTIL!Q:Q,UTIL!N:N,"-")</f>
        <v>000495608</v>
      </c>
      <c r="F77" s="15" t="s">
        <v>555</v>
      </c>
      <c r="G77" s="14">
        <v>440</v>
      </c>
      <c r="H77" s="4" t="s">
        <v>429</v>
      </c>
      <c r="I77" s="15">
        <v>5331</v>
      </c>
      <c r="J77" s="16">
        <v>45979</v>
      </c>
      <c r="K77" s="71" t="s">
        <v>556</v>
      </c>
      <c r="L77" s="15" t="str">
        <f t="shared" si="2"/>
        <v>12.11 -Ped 047801 -MONTPAR GUINDASTES -R$440 -NF 5331</v>
      </c>
    </row>
    <row r="78" spans="1:12" ht="15" hidden="1" customHeight="1">
      <c r="A78" s="4" t="s">
        <v>520</v>
      </c>
      <c r="B78" s="1" t="s">
        <v>205</v>
      </c>
      <c r="C78" s="16">
        <v>45975</v>
      </c>
      <c r="D78" s="72" t="s">
        <v>557</v>
      </c>
      <c r="E78" s="1" t="str">
        <f>_xlfn.XLOOKUP(F78,UTIL!Q:Q,UTIL!N:N,"-")</f>
        <v>032603119</v>
      </c>
      <c r="F78" s="15" t="s">
        <v>558</v>
      </c>
      <c r="G78" s="14">
        <v>3800</v>
      </c>
      <c r="H78" s="4" t="s">
        <v>429</v>
      </c>
      <c r="K78" s="71"/>
      <c r="L78" s="15" t="str">
        <f t="shared" si="2"/>
        <v>14.11 -Ped 047802 -ZORTEA -TR MAQ -R$3800</v>
      </c>
    </row>
    <row r="79" spans="1:12" ht="15" hidden="1" customHeight="1">
      <c r="A79" s="4" t="s">
        <v>522</v>
      </c>
      <c r="B79" s="1" t="s">
        <v>205</v>
      </c>
      <c r="C79" s="16">
        <v>45975</v>
      </c>
      <c r="D79" s="72" t="s">
        <v>557</v>
      </c>
      <c r="E79" s="1" t="str">
        <f>_xlfn.XLOOKUP(F79,UTIL!Q:Q,UTIL!N:N,"-")</f>
        <v>032603119</v>
      </c>
      <c r="F79" s="15" t="s">
        <v>558</v>
      </c>
      <c r="G79" s="14">
        <v>1600</v>
      </c>
      <c r="H79" s="4" t="s">
        <v>429</v>
      </c>
      <c r="K79" s="71"/>
      <c r="L79" s="15" t="str">
        <f t="shared" si="2"/>
        <v>14.11 -Ped 047802 -ZORTEA -TR MAQ -R$1600</v>
      </c>
    </row>
    <row r="80" spans="1:12" ht="15" hidden="1" customHeight="1">
      <c r="A80" s="4" t="s">
        <v>559</v>
      </c>
      <c r="B80" s="1" t="s">
        <v>449</v>
      </c>
      <c r="C80" s="16">
        <v>45978</v>
      </c>
      <c r="D80" s="72" t="s">
        <v>560</v>
      </c>
      <c r="E80" s="1" t="str">
        <f>_xlfn.XLOOKUP(F80,UTIL!Q:Q,UTIL!N:N,"-")</f>
        <v>006233947</v>
      </c>
      <c r="F80" s="15" t="s">
        <v>561</v>
      </c>
      <c r="G80" s="14">
        <v>9600</v>
      </c>
      <c r="H80" s="4" t="s">
        <v>541</v>
      </c>
      <c r="K80" s="71"/>
      <c r="L80" s="15" t="str">
        <f t="shared" si="2"/>
        <v>17.11 -Ped 047803 -LUG -TR MAQ -R$9600</v>
      </c>
    </row>
    <row r="81" spans="1:12" ht="15" hidden="1" customHeight="1">
      <c r="A81" s="4" t="s">
        <v>452</v>
      </c>
      <c r="B81" s="1" t="s">
        <v>426</v>
      </c>
      <c r="C81" s="16">
        <v>45978</v>
      </c>
      <c r="D81" s="72" t="s">
        <v>562</v>
      </c>
      <c r="E81" s="1" t="str">
        <f>_xlfn.XLOOKUP(F81,UTIL!Q:Q,UTIL!N:N,"-")</f>
        <v>051496564</v>
      </c>
      <c r="F81" s="15" t="s">
        <v>462</v>
      </c>
      <c r="G81" s="14">
        <v>200</v>
      </c>
      <c r="H81" s="4" t="s">
        <v>429</v>
      </c>
      <c r="K81" s="71"/>
      <c r="L81" s="15" t="str">
        <f t="shared" si="2"/>
        <v>17.11 -Ped 047871 -MARCOS D. COURIER -R$200</v>
      </c>
    </row>
    <row r="82" spans="1:12" ht="15" hidden="1" customHeight="1">
      <c r="A82" s="4" t="s">
        <v>520</v>
      </c>
      <c r="B82" s="1" t="s">
        <v>205</v>
      </c>
      <c r="C82" s="16">
        <v>45975</v>
      </c>
      <c r="D82" s="72" t="s">
        <v>563</v>
      </c>
      <c r="E82" s="1" t="str">
        <f>_xlfn.XLOOKUP(F82,UTIL!Q:Q,UTIL!N:N,"-")</f>
        <v>061259226</v>
      </c>
      <c r="F82" s="15" t="s">
        <v>564</v>
      </c>
      <c r="G82" s="14">
        <v>6740</v>
      </c>
      <c r="H82" s="4" t="s">
        <v>541</v>
      </c>
      <c r="K82" s="71" t="s">
        <v>565</v>
      </c>
      <c r="L82" s="15" t="str">
        <f t="shared" si="2"/>
        <v>14.11 -Ped 047872 -JAPA MARRERO -TR MAQ -R$6740</v>
      </c>
    </row>
    <row r="83" spans="1:12" ht="15" hidden="1" customHeight="1">
      <c r="A83" s="4" t="s">
        <v>466</v>
      </c>
      <c r="B83" s="1" t="s">
        <v>205</v>
      </c>
      <c r="C83" s="16">
        <v>45978</v>
      </c>
      <c r="D83" s="72" t="s">
        <v>563</v>
      </c>
      <c r="E83" s="1" t="str">
        <f>_xlfn.XLOOKUP(F83,UTIL!Q:Q,UTIL!N:N,"-")</f>
        <v>061259226</v>
      </c>
      <c r="F83" s="15" t="s">
        <v>564</v>
      </c>
      <c r="G83" s="14">
        <v>1328</v>
      </c>
      <c r="H83" s="4" t="s">
        <v>541</v>
      </c>
      <c r="K83" s="71" t="s">
        <v>566</v>
      </c>
      <c r="L83" s="15" t="str">
        <f t="shared" si="2"/>
        <v>17.11 -Ped 047872 -JAPA MARRERO -TR MAQ -R$1328</v>
      </c>
    </row>
    <row r="84" spans="1:12" ht="15" hidden="1" customHeight="1">
      <c r="A84" s="4" t="s">
        <v>506</v>
      </c>
      <c r="B84" s="1" t="s">
        <v>205</v>
      </c>
      <c r="C84" s="16">
        <v>45978</v>
      </c>
      <c r="D84" s="72" t="s">
        <v>567</v>
      </c>
      <c r="E84" s="1" t="str">
        <f>_xlfn.XLOOKUP(F84,UTIL!Q:Q,UTIL!N:N,"-")</f>
        <v>033254429</v>
      </c>
      <c r="F84" s="15" t="s">
        <v>568</v>
      </c>
      <c r="G84" s="14">
        <v>945</v>
      </c>
      <c r="H84" s="4" t="s">
        <v>541</v>
      </c>
      <c r="K84" s="71" t="s">
        <v>569</v>
      </c>
      <c r="L84" s="15" t="str">
        <f t="shared" si="2"/>
        <v>17.11 -Ped 047873 -MULTISOLDAS E MUNCK -R$945</v>
      </c>
    </row>
    <row r="85" spans="1:12" ht="15" hidden="1" customHeight="1">
      <c r="A85" s="4" t="s">
        <v>440</v>
      </c>
      <c r="B85" s="1" t="s">
        <v>153</v>
      </c>
      <c r="C85" s="16">
        <v>45955</v>
      </c>
      <c r="D85" s="72" t="s">
        <v>570</v>
      </c>
      <c r="E85" s="1" t="str">
        <f>_xlfn.XLOOKUP(F85,UTIL!Q:Q,UTIL!N:N,"-")</f>
        <v>012154080</v>
      </c>
      <c r="F85" s="15" t="s">
        <v>571</v>
      </c>
      <c r="G85" s="14">
        <v>52</v>
      </c>
      <c r="H85" s="4" t="s">
        <v>541</v>
      </c>
      <c r="I85" s="15">
        <v>230365</v>
      </c>
      <c r="J85" s="16">
        <v>45979</v>
      </c>
      <c r="K85" s="71" t="s">
        <v>572</v>
      </c>
      <c r="L85" s="15" t="str">
        <f t="shared" si="2"/>
        <v>25.10 -Ped 047889 -TX LOG -TR PEÇA -R$52 -NF 230365</v>
      </c>
    </row>
    <row r="86" spans="1:12" ht="15" hidden="1" customHeight="1">
      <c r="A86" s="4" t="s">
        <v>466</v>
      </c>
      <c r="B86" s="1" t="s">
        <v>153</v>
      </c>
      <c r="C86" s="16">
        <v>45975</v>
      </c>
      <c r="D86" s="72" t="s">
        <v>573</v>
      </c>
      <c r="E86" s="1" t="str">
        <f>_xlfn.XLOOKUP(F86,UTIL!Q:Q,UTIL!N:N,"-")</f>
        <v>046304055</v>
      </c>
      <c r="F86" s="15" t="s">
        <v>532</v>
      </c>
      <c r="G86" s="14">
        <v>300</v>
      </c>
      <c r="H86" s="4" t="s">
        <v>541</v>
      </c>
      <c r="K86" s="71"/>
      <c r="L86" s="15" t="str">
        <f t="shared" si="2"/>
        <v>14.11 -Ped 047892 -GRICZYNSKI -TR MAQ -R$300</v>
      </c>
    </row>
    <row r="87" spans="1:12" ht="15" hidden="1" customHeight="1">
      <c r="A87" s="4" t="s">
        <v>466</v>
      </c>
      <c r="B87" s="1" t="s">
        <v>153</v>
      </c>
      <c r="C87" s="16">
        <v>45975</v>
      </c>
      <c r="D87" s="72" t="s">
        <v>573</v>
      </c>
      <c r="E87" s="1" t="str">
        <f>_xlfn.XLOOKUP(F87,UTIL!Q:Q,UTIL!N:N,"-")</f>
        <v>046304055</v>
      </c>
      <c r="F87" s="15" t="s">
        <v>532</v>
      </c>
      <c r="G87" s="14">
        <v>450</v>
      </c>
      <c r="H87" s="4" t="s">
        <v>541</v>
      </c>
      <c r="K87" s="71"/>
      <c r="L87" s="15" t="str">
        <f t="shared" si="2"/>
        <v>14.11 -Ped 047892 -GRICZYNSKI -TR MAQ -R$450</v>
      </c>
    </row>
    <row r="88" spans="1:12" ht="15" hidden="1" customHeight="1">
      <c r="A88" s="4" t="s">
        <v>466</v>
      </c>
      <c r="B88" s="1" t="s">
        <v>446</v>
      </c>
      <c r="C88" s="16">
        <v>45980</v>
      </c>
      <c r="D88" s="72" t="s">
        <v>574</v>
      </c>
      <c r="E88" s="1" t="str">
        <f>_xlfn.XLOOKUP(F88,UTIL!Q:Q,UTIL!N:N,"-")</f>
        <v>046304055</v>
      </c>
      <c r="F88" s="15" t="s">
        <v>532</v>
      </c>
      <c r="G88" s="14">
        <v>550</v>
      </c>
      <c r="H88" s="4" t="s">
        <v>541</v>
      </c>
      <c r="K88" s="71"/>
      <c r="L88" s="15" t="str">
        <f t="shared" si="2"/>
        <v>19.11 -Ped 047893 -GRICZYNSKI -TR MAQ -R$550</v>
      </c>
    </row>
    <row r="89" spans="1:12" ht="15" hidden="1" customHeight="1">
      <c r="A89" s="4" t="s">
        <v>466</v>
      </c>
      <c r="B89" s="1" t="s">
        <v>446</v>
      </c>
      <c r="C89" s="16">
        <v>45975</v>
      </c>
      <c r="D89" s="72" t="s">
        <v>574</v>
      </c>
      <c r="E89" s="1" t="str">
        <f>_xlfn.XLOOKUP(F89,UTIL!Q:Q,UTIL!N:N,"-")</f>
        <v>046304055</v>
      </c>
      <c r="F89" s="15" t="s">
        <v>532</v>
      </c>
      <c r="G89" s="14">
        <v>430</v>
      </c>
      <c r="H89" s="4" t="s">
        <v>541</v>
      </c>
      <c r="K89" s="71"/>
      <c r="L89" s="15" t="str">
        <f t="shared" si="2"/>
        <v>14.11 -Ped 047893 -GRICZYNSKI -TR MAQ -R$430</v>
      </c>
    </row>
    <row r="90" spans="1:12" ht="15" hidden="1" customHeight="1">
      <c r="A90" s="4" t="s">
        <v>520</v>
      </c>
      <c r="B90" s="1" t="s">
        <v>205</v>
      </c>
      <c r="C90" s="16">
        <v>45979</v>
      </c>
      <c r="D90" s="72" t="s">
        <v>575</v>
      </c>
      <c r="E90" s="1" t="str">
        <f>_xlfn.XLOOKUP(F90,UTIL!Q:Q,UTIL!N:N,"-")</f>
        <v>019320206</v>
      </c>
      <c r="F90" s="15" t="s">
        <v>534</v>
      </c>
      <c r="G90" s="14">
        <v>900</v>
      </c>
      <c r="H90" s="4" t="s">
        <v>541</v>
      </c>
      <c r="K90" s="71"/>
      <c r="L90" s="15" t="str">
        <f t="shared" ref="L90:L102" si="3">TEXT($C90,"dd.mm") &amp; " -Ped " &amp; D90 &amp; " -" &amp; F90 &amp; " -R$" &amp; G90 &amp; IF(LEN(TRIM(I90))=0, "", " -NF " &amp; TRIM(I90))</f>
        <v>18.11 -Ped 047895 -AGROMAQ -TR MAQ -R$900</v>
      </c>
    </row>
    <row r="91" spans="1:12" ht="15" hidden="1" customHeight="1">
      <c r="A91" s="4" t="s">
        <v>522</v>
      </c>
      <c r="B91" s="1" t="s">
        <v>205</v>
      </c>
      <c r="C91" s="16">
        <v>45979</v>
      </c>
      <c r="D91" s="72" t="s">
        <v>575</v>
      </c>
      <c r="E91" s="1" t="str">
        <f>_xlfn.XLOOKUP(F91,UTIL!Q:Q,UTIL!N:N,"-")</f>
        <v>019320206</v>
      </c>
      <c r="F91" s="15" t="s">
        <v>534</v>
      </c>
      <c r="G91" s="14">
        <v>300</v>
      </c>
      <c r="H91" s="4" t="s">
        <v>541</v>
      </c>
      <c r="K91" s="71"/>
      <c r="L91" s="15" t="str">
        <f t="shared" si="3"/>
        <v>18.11 -Ped 047895 -AGROMAQ -TR MAQ -R$300</v>
      </c>
    </row>
    <row r="92" spans="1:12" ht="15" hidden="1" customHeight="1">
      <c r="A92" s="4" t="s">
        <v>576</v>
      </c>
      <c r="B92" s="1" t="s">
        <v>205</v>
      </c>
      <c r="C92" s="16">
        <v>45979</v>
      </c>
      <c r="D92" s="72" t="s">
        <v>577</v>
      </c>
      <c r="E92" s="1" t="str">
        <f>_xlfn.XLOOKUP(F92,UTIL!Q:Q,UTIL!N:N,"-")</f>
        <v>019320206</v>
      </c>
      <c r="F92" s="15" t="s">
        <v>534</v>
      </c>
      <c r="G92" s="14">
        <v>2000</v>
      </c>
      <c r="H92" s="4" t="s">
        <v>541</v>
      </c>
      <c r="K92" s="71"/>
      <c r="L92" s="15" t="str">
        <f t="shared" si="3"/>
        <v>18.11 -Ped 047897 -AGROMAQ -TR MAQ -R$2000</v>
      </c>
    </row>
    <row r="93" spans="1:12" ht="15" customHeight="1">
      <c r="A93" s="4" t="s">
        <v>440</v>
      </c>
      <c r="B93" s="1" t="s">
        <v>449</v>
      </c>
      <c r="C93" s="276">
        <v>45962</v>
      </c>
      <c r="D93" s="272" t="s">
        <v>578</v>
      </c>
      <c r="E93" s="1" t="str">
        <f>_xlfn.XLOOKUP(F93,UTIL!Q:Q,UTIL!N:N,"-")</f>
        <v>012154080</v>
      </c>
      <c r="F93" s="15" t="s">
        <v>571</v>
      </c>
      <c r="G93" s="14">
        <v>52</v>
      </c>
      <c r="H93" s="4" t="s">
        <v>541</v>
      </c>
      <c r="I93" s="15">
        <v>231628</v>
      </c>
      <c r="J93" s="16">
        <v>45979</v>
      </c>
      <c r="K93" s="71" t="s">
        <v>579</v>
      </c>
      <c r="L93" s="15" t="str">
        <f t="shared" si="3"/>
        <v>01.11 -Ped 047901 -TX LOG -TR PEÇA -R$52 -NF 231628</v>
      </c>
    </row>
    <row r="94" spans="1:12" ht="15" customHeight="1">
      <c r="A94" s="4" t="s">
        <v>440</v>
      </c>
      <c r="B94" s="1" t="s">
        <v>449</v>
      </c>
      <c r="C94" s="276">
        <v>45965</v>
      </c>
      <c r="D94" s="272" t="s">
        <v>578</v>
      </c>
      <c r="E94" s="1" t="str">
        <f>_xlfn.XLOOKUP(F94,UTIL!Q:Q,UTIL!N:N,"-")</f>
        <v>012154080</v>
      </c>
      <c r="F94" s="15" t="s">
        <v>571</v>
      </c>
      <c r="G94" s="14">
        <v>52</v>
      </c>
      <c r="H94" s="4" t="s">
        <v>541</v>
      </c>
      <c r="I94" s="15">
        <v>231958</v>
      </c>
      <c r="J94" s="16">
        <v>45979</v>
      </c>
      <c r="K94" s="71" t="s">
        <v>579</v>
      </c>
      <c r="L94" s="15" t="str">
        <f t="shared" si="3"/>
        <v>04.11 -Ped 047901 -TX LOG -TR PEÇA -R$52 -NF 231958</v>
      </c>
    </row>
    <row r="95" spans="1:12" ht="15" customHeight="1">
      <c r="A95" s="4" t="s">
        <v>440</v>
      </c>
      <c r="B95" s="1" t="s">
        <v>449</v>
      </c>
      <c r="C95" s="276">
        <v>45966</v>
      </c>
      <c r="D95" s="272" t="s">
        <v>578</v>
      </c>
      <c r="E95" s="1" t="str">
        <f>_xlfn.XLOOKUP(F95,UTIL!Q:Q,UTIL!N:N,"-")</f>
        <v>012154080</v>
      </c>
      <c r="F95" s="15" t="s">
        <v>571</v>
      </c>
      <c r="G95" s="14">
        <v>119.8</v>
      </c>
      <c r="H95" s="4" t="s">
        <v>541</v>
      </c>
      <c r="I95" s="15">
        <v>232215</v>
      </c>
      <c r="J95" s="16">
        <v>45979</v>
      </c>
      <c r="K95" s="71" t="s">
        <v>579</v>
      </c>
      <c r="L95" s="15" t="str">
        <f t="shared" si="3"/>
        <v>05.11 -Ped 047901 -TX LOG -TR PEÇA -R$119,8 -NF 232215</v>
      </c>
    </row>
    <row r="96" spans="1:12" ht="15" customHeight="1">
      <c r="A96" s="4" t="s">
        <v>440</v>
      </c>
      <c r="B96" s="1" t="s">
        <v>153</v>
      </c>
      <c r="C96" s="276">
        <v>45969</v>
      </c>
      <c r="D96" s="272" t="s">
        <v>580</v>
      </c>
      <c r="E96" s="1" t="str">
        <f>_xlfn.XLOOKUP(F96,UTIL!Q:Q,UTIL!N:N,"-")</f>
        <v>012154080</v>
      </c>
      <c r="F96" s="15" t="s">
        <v>571</v>
      </c>
      <c r="G96" s="14">
        <v>52</v>
      </c>
      <c r="H96" s="4" t="s">
        <v>541</v>
      </c>
      <c r="I96" s="15">
        <v>233001</v>
      </c>
      <c r="K96" s="71" t="s">
        <v>579</v>
      </c>
      <c r="L96" s="15" t="str">
        <f t="shared" si="3"/>
        <v>08.11 -Ped 047902 -TX LOG -TR PEÇA -R$52 -NF 233001</v>
      </c>
    </row>
    <row r="97" spans="1:12" ht="15" customHeight="1">
      <c r="A97" s="4" t="s">
        <v>440</v>
      </c>
      <c r="B97" s="1" t="s">
        <v>153</v>
      </c>
      <c r="C97" s="276">
        <v>45972</v>
      </c>
      <c r="D97" s="272" t="s">
        <v>580</v>
      </c>
      <c r="E97" s="1" t="str">
        <f>_xlfn.XLOOKUP(F97,UTIL!Q:Q,UTIL!N:N,"-")</f>
        <v>012154080</v>
      </c>
      <c r="F97" s="15" t="s">
        <v>571</v>
      </c>
      <c r="G97" s="14">
        <v>52</v>
      </c>
      <c r="H97" s="4" t="s">
        <v>541</v>
      </c>
      <c r="I97" s="15">
        <v>233290</v>
      </c>
      <c r="K97" s="71" t="s">
        <v>579</v>
      </c>
      <c r="L97" s="15" t="str">
        <f t="shared" si="3"/>
        <v>11.11 -Ped 047902 -TX LOG -TR PEÇA -R$52 -NF 233290</v>
      </c>
    </row>
    <row r="98" spans="1:12" ht="15" customHeight="1">
      <c r="A98" s="4" t="s">
        <v>440</v>
      </c>
      <c r="B98" s="1" t="s">
        <v>153</v>
      </c>
      <c r="C98" s="276">
        <v>45972</v>
      </c>
      <c r="D98" s="272" t="s">
        <v>580</v>
      </c>
      <c r="E98" s="1" t="str">
        <f>_xlfn.XLOOKUP(F98,UTIL!Q:Q,UTIL!N:N,"-")</f>
        <v>012154080</v>
      </c>
      <c r="F98" s="15" t="s">
        <v>571</v>
      </c>
      <c r="G98" s="14">
        <v>52</v>
      </c>
      <c r="H98" s="4" t="s">
        <v>541</v>
      </c>
      <c r="I98" s="15">
        <v>233291</v>
      </c>
      <c r="K98" s="71" t="s">
        <v>579</v>
      </c>
      <c r="L98" s="15" t="str">
        <f t="shared" si="3"/>
        <v>11.11 -Ped 047902 -TX LOG -TR PEÇA -R$52 -NF 233291</v>
      </c>
    </row>
    <row r="99" spans="1:12" ht="15" customHeight="1">
      <c r="A99" s="4" t="s">
        <v>440</v>
      </c>
      <c r="B99" s="1" t="s">
        <v>153</v>
      </c>
      <c r="C99" s="276">
        <v>45975</v>
      </c>
      <c r="D99" s="272" t="s">
        <v>580</v>
      </c>
      <c r="E99" s="1" t="str">
        <f>_xlfn.XLOOKUP(F99,UTIL!Q:Q,UTIL!N:N,"-")</f>
        <v>012154080</v>
      </c>
      <c r="F99" s="15" t="s">
        <v>571</v>
      </c>
      <c r="G99" s="14">
        <v>52</v>
      </c>
      <c r="H99" s="4" t="s">
        <v>541</v>
      </c>
      <c r="I99" s="15">
        <v>234040</v>
      </c>
      <c r="K99" s="71" t="s">
        <v>579</v>
      </c>
      <c r="L99" s="15" t="str">
        <f t="shared" si="3"/>
        <v>14.11 -Ped 047902 -TX LOG -TR PEÇA -R$52 -NF 234040</v>
      </c>
    </row>
    <row r="100" spans="1:12" ht="15" customHeight="1">
      <c r="A100" s="4" t="s">
        <v>440</v>
      </c>
      <c r="B100" s="1" t="s">
        <v>153</v>
      </c>
      <c r="C100" s="276">
        <v>45975</v>
      </c>
      <c r="D100" s="272" t="s">
        <v>580</v>
      </c>
      <c r="E100" s="1" t="str">
        <f>_xlfn.XLOOKUP(F100,UTIL!Q:Q,UTIL!N:N,"-")</f>
        <v>012154080</v>
      </c>
      <c r="F100" s="15" t="s">
        <v>571</v>
      </c>
      <c r="G100" s="14">
        <v>52</v>
      </c>
      <c r="H100" s="4" t="s">
        <v>541</v>
      </c>
      <c r="I100" s="15">
        <v>234045</v>
      </c>
      <c r="K100" s="71" t="s">
        <v>579</v>
      </c>
      <c r="L100" s="15" t="str">
        <f t="shared" si="3"/>
        <v>14.11 -Ped 047902 -TX LOG -TR PEÇA -R$52 -NF 234045</v>
      </c>
    </row>
    <row r="101" spans="1:12" ht="15" customHeight="1">
      <c r="A101" s="4" t="s">
        <v>440</v>
      </c>
      <c r="B101" s="1" t="s">
        <v>446</v>
      </c>
      <c r="C101" s="271">
        <v>45958</v>
      </c>
      <c r="D101" s="272" t="s">
        <v>581</v>
      </c>
      <c r="E101" s="1" t="str">
        <f>_xlfn.XLOOKUP(F101,UTIL!Q:Q,UTIL!N:N,"-")</f>
        <v>012154080</v>
      </c>
      <c r="F101" s="15" t="s">
        <v>571</v>
      </c>
      <c r="G101" s="14">
        <v>52</v>
      </c>
      <c r="H101" s="4" t="s">
        <v>541</v>
      </c>
      <c r="I101" s="15">
        <v>230691</v>
      </c>
      <c r="K101" s="71" t="s">
        <v>579</v>
      </c>
      <c r="L101" s="15" t="str">
        <f t="shared" si="3"/>
        <v>28.10 -Ped 047900 -TX LOG -TR PEÇA -R$52 -NF 230691</v>
      </c>
    </row>
    <row r="102" spans="1:12" ht="15" customHeight="1">
      <c r="A102" s="4" t="s">
        <v>440</v>
      </c>
      <c r="B102" s="1" t="s">
        <v>446</v>
      </c>
      <c r="C102" s="271">
        <v>45969</v>
      </c>
      <c r="D102" s="272" t="s">
        <v>581</v>
      </c>
      <c r="E102" s="1" t="str">
        <f>_xlfn.XLOOKUP(F102,UTIL!Q:Q,UTIL!N:N,"-")</f>
        <v>012154080</v>
      </c>
      <c r="F102" s="15" t="s">
        <v>571</v>
      </c>
      <c r="G102" s="14">
        <v>52</v>
      </c>
      <c r="H102" s="4" t="s">
        <v>541</v>
      </c>
      <c r="I102" s="15">
        <v>233000</v>
      </c>
      <c r="K102" s="71" t="s">
        <v>579</v>
      </c>
      <c r="L102" s="15" t="str">
        <f t="shared" si="3"/>
        <v>08.11 -Ped 047900 -TX LOG -TR PEÇA -R$52 -NF 233000</v>
      </c>
    </row>
    <row r="103" spans="1:12" ht="15" customHeight="1">
      <c r="A103" s="4" t="s">
        <v>440</v>
      </c>
      <c r="B103" s="1" t="s">
        <v>446</v>
      </c>
      <c r="C103" s="271">
        <v>45969</v>
      </c>
      <c r="D103" s="272" t="s">
        <v>581</v>
      </c>
      <c r="E103" s="273" t="str">
        <f>_xlfn.XLOOKUP(F103,UTIL!Q:Q,UTIL!N:N,"-")</f>
        <v>012154080</v>
      </c>
      <c r="F103" s="15" t="s">
        <v>571</v>
      </c>
      <c r="G103" s="14">
        <v>52</v>
      </c>
      <c r="H103" s="4" t="s">
        <v>541</v>
      </c>
      <c r="I103" s="15">
        <v>233017</v>
      </c>
      <c r="J103" s="274"/>
      <c r="K103" s="71" t="s">
        <v>579</v>
      </c>
      <c r="L103" s="275" t="str">
        <f>TEXT($C103,"dd.mm") &amp; " -Ped " &amp; D103 &amp; " -" &amp; F103 &amp; " -R$" &amp; G103 &amp; IF(LEN(TRIM(I103))=0, "", " -NF " &amp; TRIM(I103))</f>
        <v>08.11 -Ped 047900 -TX LOG -TR PEÇA -R$52 -NF 233017</v>
      </c>
    </row>
    <row r="104" spans="1:12" ht="15" customHeight="1">
      <c r="A104" s="4" t="s">
        <v>440</v>
      </c>
      <c r="B104" s="1" t="s">
        <v>446</v>
      </c>
      <c r="C104" s="271">
        <v>45972</v>
      </c>
      <c r="D104" s="277" t="s">
        <v>581</v>
      </c>
      <c r="E104" s="273" t="str">
        <f>_xlfn.XLOOKUP(F104,UTIL!Q:Q,UTIL!N:N,"-")</f>
        <v>012154080</v>
      </c>
      <c r="F104" s="15" t="s">
        <v>571</v>
      </c>
      <c r="G104" s="14">
        <v>52</v>
      </c>
      <c r="H104" s="4" t="s">
        <v>541</v>
      </c>
      <c r="I104" s="15">
        <v>233289</v>
      </c>
      <c r="J104" s="274"/>
      <c r="K104" s="71" t="s">
        <v>579</v>
      </c>
      <c r="L104" s="275" t="str">
        <f t="shared" ref="L104:L106" si="4">TEXT($C104,"dd.mm") &amp; " -Ped " &amp; D104 &amp; " -" &amp; F104 &amp; " -R$" &amp; G104 &amp; IF(LEN(TRIM(I104))=0, "", " -NF " &amp; TRIM(I104))</f>
        <v>11.11 -Ped 047900 -TX LOG -TR PEÇA -R$52 -NF 233289</v>
      </c>
    </row>
    <row r="105" spans="1:12" ht="15" customHeight="1">
      <c r="A105" s="4" t="s">
        <v>440</v>
      </c>
      <c r="B105" s="1" t="s">
        <v>446</v>
      </c>
      <c r="C105" s="271">
        <v>45972</v>
      </c>
      <c r="D105" s="277" t="s">
        <v>581</v>
      </c>
      <c r="E105" s="273" t="str">
        <f>_xlfn.XLOOKUP(F105,UTIL!Q:Q,UTIL!N:N,"-")</f>
        <v>012154080</v>
      </c>
      <c r="F105" s="15" t="s">
        <v>571</v>
      </c>
      <c r="G105" s="14">
        <v>52</v>
      </c>
      <c r="H105" s="4" t="s">
        <v>541</v>
      </c>
      <c r="I105" s="15">
        <v>233292</v>
      </c>
      <c r="J105" s="274"/>
      <c r="K105" s="71" t="s">
        <v>579</v>
      </c>
      <c r="L105" s="275" t="str">
        <f t="shared" si="4"/>
        <v>11.11 -Ped 047900 -TX LOG -TR PEÇA -R$52 -NF 233292</v>
      </c>
    </row>
    <row r="106" spans="1:12" ht="15" customHeight="1">
      <c r="A106" s="4" t="s">
        <v>440</v>
      </c>
      <c r="B106" s="1" t="s">
        <v>446</v>
      </c>
      <c r="C106" s="271">
        <v>45975</v>
      </c>
      <c r="D106" s="277" t="s">
        <v>581</v>
      </c>
      <c r="E106" s="273" t="str">
        <f>_xlfn.XLOOKUP(F106,UTIL!Q:Q,UTIL!N:N,"-")</f>
        <v>012154080</v>
      </c>
      <c r="F106" s="15" t="s">
        <v>571</v>
      </c>
      <c r="G106" s="14">
        <v>52</v>
      </c>
      <c r="H106" s="4" t="s">
        <v>541</v>
      </c>
      <c r="I106" s="15">
        <v>234044</v>
      </c>
      <c r="J106" s="274"/>
      <c r="K106" s="71" t="s">
        <v>579</v>
      </c>
      <c r="L106" s="275" t="str">
        <f t="shared" si="4"/>
        <v>14.11 -Ped 047900 -TX LOG -TR PEÇA -R$52 -NF 234044</v>
      </c>
    </row>
  </sheetData>
  <conditionalFormatting sqref="A2:H9996">
    <cfRule type="expression" dxfId="165" priority="1">
      <formula>$H2="APROVADO"</formula>
    </cfRule>
    <cfRule type="expression" dxfId="164" priority="3">
      <formula>$H2="AGUARDANDO"</formula>
    </cfRule>
  </conditionalFormatting>
  <conditionalFormatting sqref="A2:L9996">
    <cfRule type="expression" dxfId="163" priority="5">
      <formula>LEN(TRIM($A2))=0</formula>
    </cfRule>
    <cfRule type="expression" dxfId="162" priority="6">
      <formula>LEN(TRIM($J2))=0</formula>
    </cfRule>
  </conditionalFormatting>
  <conditionalFormatting sqref="I2:L9996">
    <cfRule type="expression" dxfId="161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9 B93:B95" xr:uid="{DAB08B16-AC0C-474C-BCD9-EA4EC6EDF2B0}">
      <formula1>"PG, CASTRO, IRATI, ARAPOTI, TIBAGI, GRPVA, PRUDE, QUEDAS"</formula1>
    </dataValidation>
    <dataValidation type="list" allowBlank="1" showInputMessage="1" showErrorMessage="1" sqref="H2:H106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3"/>
  <sheetViews>
    <sheetView showGridLines="0" workbookViewId="0">
      <pane ySplit="1" topLeftCell="A2" activePane="bottomLeft" state="frozen"/>
      <selection pane="bottomLeft" activeCell="E8" sqref="E8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582</v>
      </c>
      <c r="D1" s="6" t="s">
        <v>583</v>
      </c>
      <c r="E1" s="5" t="s">
        <v>584</v>
      </c>
      <c r="F1" s="6" t="s">
        <v>585</v>
      </c>
      <c r="G1" s="68" t="s">
        <v>586</v>
      </c>
      <c r="H1" s="6" t="s">
        <v>587</v>
      </c>
      <c r="I1" s="6" t="s">
        <v>588</v>
      </c>
      <c r="J1" s="6" t="s">
        <v>589</v>
      </c>
      <c r="K1" s="5" t="s">
        <v>590</v>
      </c>
      <c r="L1" s="6" t="s">
        <v>591</v>
      </c>
      <c r="M1" s="6" t="s">
        <v>592</v>
      </c>
      <c r="N1" s="6" t="s">
        <v>593</v>
      </c>
      <c r="O1" s="6" t="s">
        <v>594</v>
      </c>
    </row>
    <row r="2" spans="1:15" ht="72">
      <c r="A2" s="65" t="s">
        <v>148</v>
      </c>
      <c r="B2" s="66" t="s">
        <v>595</v>
      </c>
      <c r="C2" s="67">
        <v>45973</v>
      </c>
      <c r="E2" s="65" t="s">
        <v>596</v>
      </c>
      <c r="F2" s="66" t="s">
        <v>597</v>
      </c>
      <c r="G2" s="69" t="s">
        <v>598</v>
      </c>
      <c r="H2" s="66" t="s">
        <v>154</v>
      </c>
      <c r="I2" s="66" t="s">
        <v>599</v>
      </c>
      <c r="J2" s="66" t="s">
        <v>396</v>
      </c>
      <c r="K2" s="65">
        <v>42988689045</v>
      </c>
    </row>
    <row r="3" spans="1:15" ht="99.75" customHeight="1">
      <c r="A3" s="65" t="s">
        <v>600</v>
      </c>
      <c r="B3" s="66" t="s">
        <v>601</v>
      </c>
      <c r="C3" s="67">
        <v>45975</v>
      </c>
      <c r="E3" s="65" t="s">
        <v>596</v>
      </c>
      <c r="F3" s="66" t="s">
        <v>602</v>
      </c>
      <c r="G3" s="69" t="s">
        <v>603</v>
      </c>
      <c r="H3" s="66" t="s">
        <v>154</v>
      </c>
      <c r="I3" s="66" t="s">
        <v>604</v>
      </c>
      <c r="J3" s="66" t="s">
        <v>251</v>
      </c>
      <c r="K3" s="65" t="s">
        <v>605</v>
      </c>
    </row>
  </sheetData>
  <conditionalFormatting sqref="A2:O9998">
    <cfRule type="expression" dxfId="146" priority="1">
      <formula>$A2="REGISTRADO"</formula>
    </cfRule>
    <cfRule type="expression" dxfId="145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V13" sqref="V13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3" bestFit="1" customWidth="1"/>
    <col min="7" max="8" width="4.7109375" style="163" bestFit="1" customWidth="1"/>
    <col min="9" max="9" width="5" style="163" bestFit="1" customWidth="1"/>
    <col min="10" max="10" width="5.5703125" style="164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57" t="s">
        <v>606</v>
      </c>
      <c r="B1" s="157" t="s">
        <v>607</v>
      </c>
      <c r="C1" s="157" t="s">
        <v>608</v>
      </c>
      <c r="D1" s="157" t="s">
        <v>609</v>
      </c>
      <c r="E1" s="157" t="s">
        <v>142</v>
      </c>
      <c r="F1" s="158" t="s">
        <v>610</v>
      </c>
      <c r="G1" s="158" t="s">
        <v>611</v>
      </c>
      <c r="H1" s="158" t="s">
        <v>612</v>
      </c>
      <c r="I1" s="158" t="s">
        <v>613</v>
      </c>
      <c r="J1" s="159" t="s">
        <v>614</v>
      </c>
      <c r="K1" s="157" t="s">
        <v>615</v>
      </c>
      <c r="L1" s="265" t="s">
        <v>591</v>
      </c>
      <c r="N1" s="157" t="s">
        <v>417</v>
      </c>
      <c r="O1" s="165" t="s">
        <v>616</v>
      </c>
      <c r="P1" s="157" t="s">
        <v>617</v>
      </c>
      <c r="Q1" s="157" t="s">
        <v>618</v>
      </c>
      <c r="R1" s="157" t="s">
        <v>619</v>
      </c>
      <c r="S1" s="154" t="s">
        <v>142</v>
      </c>
      <c r="T1" s="265" t="s">
        <v>620</v>
      </c>
      <c r="V1" s="59" t="s">
        <v>417</v>
      </c>
      <c r="W1" s="60" t="s">
        <v>621</v>
      </c>
      <c r="X1" s="49"/>
      <c r="Z1" s="7">
        <v>1</v>
      </c>
      <c r="AA1" s="58" t="s">
        <v>622</v>
      </c>
      <c r="AB1" s="44" t="s">
        <v>623</v>
      </c>
    </row>
    <row r="2" spans="1:28">
      <c r="A2" s="160">
        <v>1</v>
      </c>
      <c r="B2" s="160" t="s">
        <v>624</v>
      </c>
      <c r="C2" s="160" t="s">
        <v>625</v>
      </c>
      <c r="D2" s="160" t="s">
        <v>626</v>
      </c>
      <c r="E2" s="160" t="s">
        <v>627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65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628</v>
      </c>
      <c r="Q2" s="160" t="s">
        <v>629</v>
      </c>
      <c r="R2" s="160" t="s">
        <v>630</v>
      </c>
      <c r="S2" s="2" t="s">
        <v>631</v>
      </c>
      <c r="T2" s="265"/>
      <c r="V2" s="45" t="s">
        <v>632</v>
      </c>
      <c r="W2" s="46" t="s">
        <v>633</v>
      </c>
      <c r="X2" s="47"/>
      <c r="AA2" s="8" t="s">
        <v>634</v>
      </c>
      <c r="AB2" s="44"/>
    </row>
    <row r="3" spans="1:28">
      <c r="A3" s="160">
        <v>1</v>
      </c>
      <c r="B3" s="160" t="s">
        <v>635</v>
      </c>
      <c r="C3" s="160" t="s">
        <v>625</v>
      </c>
      <c r="D3" s="160" t="s">
        <v>636</v>
      </c>
      <c r="E3" s="160" t="s">
        <v>637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65"/>
      <c r="N3" s="160" t="str">
        <f t="shared" si="0"/>
        <v>061196032</v>
      </c>
      <c r="O3" s="166">
        <v>61196032000107</v>
      </c>
      <c r="P3" s="160" t="s">
        <v>638</v>
      </c>
      <c r="Q3" s="160" t="s">
        <v>454</v>
      </c>
      <c r="R3" s="160" t="s">
        <v>639</v>
      </c>
      <c r="S3" s="2" t="s">
        <v>631</v>
      </c>
      <c r="T3" s="265"/>
      <c r="V3" s="45" t="s">
        <v>640</v>
      </c>
      <c r="W3" s="46" t="s">
        <v>641</v>
      </c>
      <c r="X3" s="47"/>
      <c r="Z3" s="7">
        <v>2</v>
      </c>
      <c r="AA3" s="58" t="s">
        <v>642</v>
      </c>
      <c r="AB3" s="44" t="s">
        <v>643</v>
      </c>
    </row>
    <row r="4" spans="1:28">
      <c r="A4" s="160">
        <v>1</v>
      </c>
      <c r="B4" s="160" t="s">
        <v>635</v>
      </c>
      <c r="C4" s="160" t="s">
        <v>625</v>
      </c>
      <c r="D4" s="160" t="s">
        <v>636</v>
      </c>
      <c r="E4" s="160" t="s">
        <v>644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65"/>
      <c r="N4" s="160" t="str">
        <f t="shared" si="0"/>
        <v>030712609</v>
      </c>
      <c r="O4" s="166">
        <v>30712609000154</v>
      </c>
      <c r="P4" s="160" t="s">
        <v>645</v>
      </c>
      <c r="Q4" s="160" t="s">
        <v>646</v>
      </c>
      <c r="R4" s="160" t="s">
        <v>647</v>
      </c>
      <c r="S4" s="155" t="s">
        <v>631</v>
      </c>
      <c r="T4" s="265"/>
      <c r="V4" s="45" t="s">
        <v>648</v>
      </c>
      <c r="W4" s="46" t="s">
        <v>649</v>
      </c>
      <c r="X4" s="47"/>
      <c r="AA4" s="8" t="s">
        <v>650</v>
      </c>
      <c r="AB4" s="44"/>
    </row>
    <row r="5" spans="1:28">
      <c r="A5" s="160">
        <v>1</v>
      </c>
      <c r="B5" s="160" t="s">
        <v>635</v>
      </c>
      <c r="C5" s="160" t="s">
        <v>625</v>
      </c>
      <c r="D5" s="160" t="s">
        <v>636</v>
      </c>
      <c r="E5" s="160" t="s">
        <v>651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65"/>
      <c r="N5" s="160" t="str">
        <f t="shared" si="0"/>
        <v>018492099</v>
      </c>
      <c r="O5" s="166">
        <v>18492099000151</v>
      </c>
      <c r="P5" s="160" t="s">
        <v>652</v>
      </c>
      <c r="Q5" s="160" t="s">
        <v>653</v>
      </c>
      <c r="R5" s="160" t="s">
        <v>654</v>
      </c>
      <c r="S5" s="2" t="s">
        <v>631</v>
      </c>
      <c r="T5" s="265"/>
      <c r="V5" s="45" t="s">
        <v>655</v>
      </c>
      <c r="W5" s="46" t="s">
        <v>656</v>
      </c>
      <c r="X5" s="47"/>
      <c r="Z5" s="7">
        <v>3</v>
      </c>
      <c r="AA5" s="58" t="s">
        <v>657</v>
      </c>
      <c r="AB5" s="44" t="s">
        <v>658</v>
      </c>
    </row>
    <row r="6" spans="1:28">
      <c r="A6" s="160">
        <v>1</v>
      </c>
      <c r="B6" s="160" t="s">
        <v>635</v>
      </c>
      <c r="C6" s="160" t="s">
        <v>625</v>
      </c>
      <c r="D6" s="160" t="s">
        <v>659</v>
      </c>
      <c r="E6" s="160" t="s">
        <v>660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65"/>
      <c r="N6" s="160" t="str">
        <f t="shared" si="0"/>
        <v>045428882</v>
      </c>
      <c r="O6" s="166">
        <v>45428882000129</v>
      </c>
      <c r="P6" s="160" t="s">
        <v>661</v>
      </c>
      <c r="Q6" s="160" t="s">
        <v>662</v>
      </c>
      <c r="R6" s="160" t="s">
        <v>663</v>
      </c>
      <c r="S6" s="2" t="s">
        <v>631</v>
      </c>
      <c r="T6" s="265"/>
      <c r="V6" s="45" t="s">
        <v>664</v>
      </c>
      <c r="W6" s="46" t="s">
        <v>665</v>
      </c>
      <c r="X6" s="48" t="s">
        <v>666</v>
      </c>
      <c r="AA6" s="8" t="s">
        <v>667</v>
      </c>
      <c r="AB6" s="44"/>
    </row>
    <row r="7" spans="1:28">
      <c r="A7" s="160">
        <v>1</v>
      </c>
      <c r="B7" s="160" t="s">
        <v>635</v>
      </c>
      <c r="C7" s="160" t="s">
        <v>625</v>
      </c>
      <c r="D7" s="160" t="s">
        <v>668</v>
      </c>
      <c r="E7" s="160" t="s">
        <v>669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65"/>
      <c r="N7" s="160" t="str">
        <f t="shared" si="0"/>
        <v>043196595</v>
      </c>
      <c r="O7" s="166">
        <v>43196595000105</v>
      </c>
      <c r="P7" s="160" t="s">
        <v>670</v>
      </c>
      <c r="Q7" s="160" t="s">
        <v>671</v>
      </c>
      <c r="R7" s="160" t="s">
        <v>672</v>
      </c>
      <c r="S7" s="155" t="s">
        <v>631</v>
      </c>
      <c r="T7" s="265"/>
      <c r="V7" s="45" t="s">
        <v>673</v>
      </c>
      <c r="W7" s="46" t="s">
        <v>674</v>
      </c>
      <c r="X7" s="48"/>
      <c r="Z7" s="7">
        <v>4</v>
      </c>
      <c r="AA7" s="58" t="s">
        <v>675</v>
      </c>
      <c r="AB7" s="44" t="s">
        <v>676</v>
      </c>
    </row>
    <row r="8" spans="1:28">
      <c r="A8" s="160">
        <v>1</v>
      </c>
      <c r="B8" s="160" t="s">
        <v>635</v>
      </c>
      <c r="C8" s="160" t="s">
        <v>625</v>
      </c>
      <c r="D8" s="160" t="s">
        <v>677</v>
      </c>
      <c r="E8" s="160" t="s">
        <v>678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65"/>
      <c r="N8" s="160" t="str">
        <f t="shared" si="0"/>
        <v>029866343</v>
      </c>
      <c r="O8" s="166">
        <v>29866343000115</v>
      </c>
      <c r="P8" s="160" t="s">
        <v>679</v>
      </c>
      <c r="Q8" s="160" t="s">
        <v>680</v>
      </c>
      <c r="R8" s="160" t="s">
        <v>681</v>
      </c>
      <c r="S8" s="155" t="s">
        <v>631</v>
      </c>
      <c r="T8" s="265"/>
      <c r="V8" s="59" t="s">
        <v>417</v>
      </c>
      <c r="W8" s="60" t="s">
        <v>682</v>
      </c>
      <c r="X8" s="49"/>
      <c r="AA8" s="8" t="s">
        <v>683</v>
      </c>
      <c r="AB8" s="44"/>
    </row>
    <row r="9" spans="1:28">
      <c r="A9" s="160">
        <v>1</v>
      </c>
      <c r="B9" s="160" t="s">
        <v>635</v>
      </c>
      <c r="C9" s="160" t="s">
        <v>625</v>
      </c>
      <c r="D9" s="160" t="s">
        <v>684</v>
      </c>
      <c r="E9" s="160" t="s">
        <v>685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65"/>
      <c r="N9" s="160" t="str">
        <f t="shared" si="0"/>
        <v>033144048</v>
      </c>
      <c r="O9" s="166">
        <v>33144048000122</v>
      </c>
      <c r="P9" s="160" t="s">
        <v>686</v>
      </c>
      <c r="Q9" s="160" t="s">
        <v>687</v>
      </c>
      <c r="R9" s="160" t="s">
        <v>688</v>
      </c>
      <c r="S9" s="155" t="s">
        <v>631</v>
      </c>
      <c r="T9" s="265"/>
      <c r="V9" s="45">
        <v>101001</v>
      </c>
      <c r="W9" s="46" t="s">
        <v>689</v>
      </c>
      <c r="X9" s="47"/>
      <c r="Z9" s="7">
        <v>5</v>
      </c>
      <c r="AA9" s="58" t="s">
        <v>690</v>
      </c>
      <c r="AB9" s="44" t="s">
        <v>691</v>
      </c>
    </row>
    <row r="10" spans="1:28">
      <c r="A10" s="160">
        <v>1</v>
      </c>
      <c r="B10" s="160" t="s">
        <v>692</v>
      </c>
      <c r="C10" s="160" t="s">
        <v>625</v>
      </c>
      <c r="D10" s="160" t="s">
        <v>693</v>
      </c>
      <c r="E10" s="160" t="s">
        <v>694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65"/>
      <c r="N10" s="160" t="str">
        <f t="shared" si="0"/>
        <v>049138592</v>
      </c>
      <c r="O10" s="166">
        <v>49138592000100</v>
      </c>
      <c r="P10" s="160" t="s">
        <v>695</v>
      </c>
      <c r="Q10" s="160" t="s">
        <v>459</v>
      </c>
      <c r="R10" s="160" t="s">
        <v>696</v>
      </c>
      <c r="S10" s="155" t="s">
        <v>631</v>
      </c>
      <c r="T10" s="265"/>
      <c r="V10" s="45">
        <v>105001</v>
      </c>
      <c r="W10" s="46" t="s">
        <v>697</v>
      </c>
      <c r="X10" s="47"/>
      <c r="AA10" s="8" t="s">
        <v>698</v>
      </c>
      <c r="AB10" s="44"/>
    </row>
    <row r="11" spans="1:28">
      <c r="A11" s="160">
        <v>1</v>
      </c>
      <c r="B11" s="160" t="s">
        <v>692</v>
      </c>
      <c r="C11" s="160" t="s">
        <v>625</v>
      </c>
      <c r="D11" s="160" t="s">
        <v>699</v>
      </c>
      <c r="E11" s="160" t="s">
        <v>700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65"/>
      <c r="N11" s="160" t="str">
        <f t="shared" si="0"/>
        <v>051308170</v>
      </c>
      <c r="O11" s="166">
        <v>51308170000179</v>
      </c>
      <c r="P11" s="160" t="s">
        <v>701</v>
      </c>
      <c r="Q11" s="160" t="s">
        <v>702</v>
      </c>
      <c r="R11" s="160" t="s">
        <v>703</v>
      </c>
      <c r="S11" s="155" t="s">
        <v>631</v>
      </c>
      <c r="T11" s="265"/>
      <c r="V11" s="45">
        <v>105003</v>
      </c>
      <c r="W11" s="46" t="s">
        <v>704</v>
      </c>
      <c r="X11" s="47"/>
      <c r="Z11" s="7">
        <v>6</v>
      </c>
      <c r="AA11" s="58" t="s">
        <v>705</v>
      </c>
      <c r="AB11" s="44" t="s">
        <v>706</v>
      </c>
    </row>
    <row r="12" spans="1:28">
      <c r="A12" s="160">
        <v>1</v>
      </c>
      <c r="B12" s="160" t="s">
        <v>692</v>
      </c>
      <c r="C12" s="160" t="s">
        <v>625</v>
      </c>
      <c r="D12" s="160" t="s">
        <v>707</v>
      </c>
      <c r="E12" s="160" t="s">
        <v>708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65"/>
      <c r="N12" s="160" t="str">
        <f t="shared" si="0"/>
        <v>037717850</v>
      </c>
      <c r="O12" s="166">
        <v>37717850000115</v>
      </c>
      <c r="P12" s="160" t="s">
        <v>709</v>
      </c>
      <c r="Q12" s="160" t="s">
        <v>710</v>
      </c>
      <c r="R12" s="160" t="s">
        <v>647</v>
      </c>
      <c r="S12" s="155" t="s">
        <v>631</v>
      </c>
      <c r="T12" s="265"/>
      <c r="V12" s="45">
        <v>110002</v>
      </c>
      <c r="W12" s="46" t="s">
        <v>711</v>
      </c>
      <c r="X12" s="47"/>
      <c r="AA12" s="8" t="s">
        <v>712</v>
      </c>
      <c r="AB12" s="44"/>
    </row>
    <row r="13" spans="1:28">
      <c r="A13" s="160">
        <v>1</v>
      </c>
      <c r="B13" s="160" t="s">
        <v>692</v>
      </c>
      <c r="C13" s="160" t="s">
        <v>625</v>
      </c>
      <c r="D13" s="160" t="s">
        <v>713</v>
      </c>
      <c r="E13" s="160" t="s">
        <v>714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65"/>
      <c r="N13" s="160" t="str">
        <f t="shared" si="0"/>
        <v>051836272</v>
      </c>
      <c r="O13" s="166">
        <v>51836272000167</v>
      </c>
      <c r="P13" s="160" t="s">
        <v>715</v>
      </c>
      <c r="Q13" s="160" t="s">
        <v>716</v>
      </c>
      <c r="R13" s="160" t="s">
        <v>647</v>
      </c>
      <c r="S13" s="155" t="s">
        <v>631</v>
      </c>
      <c r="T13" s="265"/>
      <c r="V13" s="45">
        <v>101003</v>
      </c>
      <c r="W13" s="46" t="s">
        <v>717</v>
      </c>
      <c r="X13" s="47"/>
      <c r="Z13" s="7">
        <v>7</v>
      </c>
      <c r="AA13" s="58" t="s">
        <v>718</v>
      </c>
      <c r="AB13" s="44" t="s">
        <v>719</v>
      </c>
    </row>
    <row r="14" spans="1:28">
      <c r="A14" s="160">
        <v>1</v>
      </c>
      <c r="B14" s="160" t="s">
        <v>692</v>
      </c>
      <c r="C14" s="160" t="s">
        <v>625</v>
      </c>
      <c r="D14" s="160" t="s">
        <v>713</v>
      </c>
      <c r="E14" s="160" t="s">
        <v>720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65"/>
      <c r="N14" s="160" t="str">
        <f t="shared" si="0"/>
        <v>052184344</v>
      </c>
      <c r="O14" s="166">
        <v>52184344000100</v>
      </c>
      <c r="P14" s="160" t="s">
        <v>721</v>
      </c>
      <c r="Q14" s="160" t="s">
        <v>722</v>
      </c>
      <c r="R14" s="160" t="s">
        <v>672</v>
      </c>
      <c r="S14" s="155" t="s">
        <v>631</v>
      </c>
      <c r="T14" s="265"/>
      <c r="V14" s="45">
        <v>115004</v>
      </c>
      <c r="W14" s="46" t="s">
        <v>723</v>
      </c>
      <c r="X14" s="47"/>
      <c r="AA14" s="8" t="s">
        <v>724</v>
      </c>
      <c r="AB14" s="44"/>
    </row>
    <row r="15" spans="1:28">
      <c r="A15" s="160">
        <v>1</v>
      </c>
      <c r="B15" s="160" t="s">
        <v>692</v>
      </c>
      <c r="C15" s="160" t="s">
        <v>625</v>
      </c>
      <c r="D15" s="160" t="s">
        <v>725</v>
      </c>
      <c r="E15" s="160" t="s">
        <v>726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65"/>
      <c r="N15" s="160" t="str">
        <f t="shared" si="0"/>
        <v>046406936</v>
      </c>
      <c r="O15" s="166">
        <v>46406936000118</v>
      </c>
      <c r="P15" s="160" t="s">
        <v>727</v>
      </c>
      <c r="Q15" s="160" t="s">
        <v>728</v>
      </c>
      <c r="R15" s="160" t="s">
        <v>672</v>
      </c>
      <c r="S15" s="155" t="s">
        <v>631</v>
      </c>
      <c r="T15" s="265"/>
      <c r="V15" s="45">
        <v>120007</v>
      </c>
      <c r="W15" s="50" t="s">
        <v>729</v>
      </c>
      <c r="X15" s="51"/>
      <c r="Z15" s="7">
        <v>8</v>
      </c>
      <c r="AA15" s="58" t="s">
        <v>730</v>
      </c>
      <c r="AB15" s="44" t="s">
        <v>731</v>
      </c>
    </row>
    <row r="16" spans="1:28">
      <c r="A16" s="160">
        <v>1</v>
      </c>
      <c r="B16" s="160" t="s">
        <v>692</v>
      </c>
      <c r="C16" s="160" t="s">
        <v>625</v>
      </c>
      <c r="D16" s="160" t="s">
        <v>725</v>
      </c>
      <c r="E16" s="160" t="s">
        <v>732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65"/>
      <c r="N16" s="160" t="str">
        <f t="shared" si="0"/>
        <v>036949062</v>
      </c>
      <c r="O16" s="166">
        <v>36949062000191</v>
      </c>
      <c r="P16" s="160" t="s">
        <v>733</v>
      </c>
      <c r="Q16" s="160" t="s">
        <v>734</v>
      </c>
      <c r="R16" s="160" t="s">
        <v>663</v>
      </c>
      <c r="S16" s="155" t="s">
        <v>631</v>
      </c>
      <c r="T16" s="265"/>
      <c r="V16" s="45">
        <v>120006</v>
      </c>
      <c r="W16" s="50" t="s">
        <v>735</v>
      </c>
      <c r="X16" s="51"/>
      <c r="AA16" s="8" t="s">
        <v>736</v>
      </c>
      <c r="AB16" s="44"/>
    </row>
    <row r="17" spans="1:28">
      <c r="A17" s="160">
        <v>1</v>
      </c>
      <c r="B17" s="160" t="s">
        <v>692</v>
      </c>
      <c r="C17" s="160" t="s">
        <v>625</v>
      </c>
      <c r="D17" s="160" t="s">
        <v>737</v>
      </c>
      <c r="E17" s="160" t="s">
        <v>738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65"/>
      <c r="N17" s="160" t="str">
        <f t="shared" si="0"/>
        <v>004799973</v>
      </c>
      <c r="O17" s="166">
        <v>4799973000193</v>
      </c>
      <c r="P17" s="160" t="s">
        <v>739</v>
      </c>
      <c r="Q17" s="160" t="s">
        <v>740</v>
      </c>
      <c r="R17" s="160" t="s">
        <v>741</v>
      </c>
      <c r="S17" s="155" t="s">
        <v>631</v>
      </c>
      <c r="T17" s="265"/>
      <c r="V17" s="59" t="s">
        <v>742</v>
      </c>
      <c r="W17" s="60" t="s">
        <v>743</v>
      </c>
      <c r="X17" s="49"/>
      <c r="AB17" s="44" t="s">
        <v>744</v>
      </c>
    </row>
    <row r="18" spans="1:28">
      <c r="A18" s="160">
        <v>1</v>
      </c>
      <c r="B18" s="160" t="s">
        <v>692</v>
      </c>
      <c r="C18" s="160" t="s">
        <v>625</v>
      </c>
      <c r="D18" s="160" t="s">
        <v>737</v>
      </c>
      <c r="E18" s="160" t="s">
        <v>745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65"/>
      <c r="N18" s="160" t="str">
        <f t="shared" si="0"/>
        <v>041772779</v>
      </c>
      <c r="O18" s="166">
        <v>41772779000140</v>
      </c>
      <c r="P18" s="160" t="s">
        <v>746</v>
      </c>
      <c r="Q18" s="160" t="s">
        <v>747</v>
      </c>
      <c r="R18" s="160" t="s">
        <v>663</v>
      </c>
      <c r="S18" s="155" t="s">
        <v>631</v>
      </c>
      <c r="T18" s="265"/>
      <c r="V18" s="46" t="s">
        <v>748</v>
      </c>
      <c r="W18" s="52" t="s">
        <v>749</v>
      </c>
      <c r="X18" s="48" t="s">
        <v>750</v>
      </c>
      <c r="AB18" s="44" t="s">
        <v>751</v>
      </c>
    </row>
    <row r="19" spans="1:28">
      <c r="A19" s="160">
        <v>1</v>
      </c>
      <c r="B19" s="160" t="s">
        <v>692</v>
      </c>
      <c r="C19" s="160" t="s">
        <v>625</v>
      </c>
      <c r="D19" s="160" t="s">
        <v>752</v>
      </c>
      <c r="E19" s="160" t="s">
        <v>753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65"/>
      <c r="N19" s="160" t="str">
        <f t="shared" si="0"/>
        <v>028829399</v>
      </c>
      <c r="O19" s="166">
        <v>28829399000137</v>
      </c>
      <c r="P19" s="160" t="s">
        <v>754</v>
      </c>
      <c r="Q19" s="160" t="s">
        <v>755</v>
      </c>
      <c r="R19" s="160" t="s">
        <v>756</v>
      </c>
      <c r="S19" s="155" t="s">
        <v>631</v>
      </c>
      <c r="T19" s="265"/>
      <c r="V19" s="46" t="s">
        <v>757</v>
      </c>
      <c r="W19" s="52" t="s">
        <v>758</v>
      </c>
      <c r="X19" s="48" t="s">
        <v>759</v>
      </c>
      <c r="AB19" s="44"/>
    </row>
    <row r="20" spans="1:28">
      <c r="A20" s="160">
        <v>1</v>
      </c>
      <c r="B20" s="160" t="s">
        <v>692</v>
      </c>
      <c r="C20" s="160" t="s">
        <v>625</v>
      </c>
      <c r="D20" s="160" t="s">
        <v>752</v>
      </c>
      <c r="E20" s="160" t="s">
        <v>760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65"/>
      <c r="N20" s="160" t="str">
        <f t="shared" si="0"/>
        <v>017726086</v>
      </c>
      <c r="O20" s="166">
        <v>17726086000137</v>
      </c>
      <c r="P20" s="160" t="s">
        <v>761</v>
      </c>
      <c r="Q20" s="160" t="s">
        <v>762</v>
      </c>
      <c r="R20" s="160" t="s">
        <v>763</v>
      </c>
      <c r="S20" s="155" t="s">
        <v>631</v>
      </c>
      <c r="T20" s="265"/>
      <c r="V20" s="61" t="s">
        <v>15</v>
      </c>
      <c r="W20" s="61" t="s">
        <v>764</v>
      </c>
      <c r="X20" s="49"/>
      <c r="AA20" s="17" t="s">
        <v>765</v>
      </c>
      <c r="AB20" s="44"/>
    </row>
    <row r="21" spans="1:28">
      <c r="A21" s="160">
        <v>1</v>
      </c>
      <c r="B21" s="160" t="s">
        <v>692</v>
      </c>
      <c r="C21" s="160" t="s">
        <v>625</v>
      </c>
      <c r="D21" s="160" t="s">
        <v>766</v>
      </c>
      <c r="E21" s="160" t="s">
        <v>767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768</v>
      </c>
      <c r="Q21" s="160" t="s">
        <v>769</v>
      </c>
      <c r="R21" s="160" t="s">
        <v>688</v>
      </c>
      <c r="S21" s="155" t="s">
        <v>631</v>
      </c>
      <c r="V21" s="53" t="s">
        <v>770</v>
      </c>
      <c r="W21" s="53" t="s">
        <v>771</v>
      </c>
      <c r="X21" s="54"/>
      <c r="AA21" s="18" t="s">
        <v>772</v>
      </c>
      <c r="AB21" s="44"/>
    </row>
    <row r="22" spans="1:28">
      <c r="A22" s="160">
        <v>1</v>
      </c>
      <c r="B22" s="160" t="s">
        <v>692</v>
      </c>
      <c r="C22" s="160" t="s">
        <v>625</v>
      </c>
      <c r="D22" s="160" t="s">
        <v>766</v>
      </c>
      <c r="E22" s="160" t="s">
        <v>773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774</v>
      </c>
      <c r="Q22" s="160" t="s">
        <v>456</v>
      </c>
      <c r="R22" s="160" t="s">
        <v>647</v>
      </c>
      <c r="S22" s="155" t="s">
        <v>631</v>
      </c>
      <c r="V22" s="53" t="s">
        <v>775</v>
      </c>
      <c r="W22" s="53" t="s">
        <v>776</v>
      </c>
      <c r="X22" s="54"/>
      <c r="AA22" s="18" t="s">
        <v>777</v>
      </c>
    </row>
    <row r="23" spans="1:28">
      <c r="A23" s="160">
        <v>1</v>
      </c>
      <c r="B23" s="160" t="s">
        <v>778</v>
      </c>
      <c r="C23" s="160" t="s">
        <v>625</v>
      </c>
      <c r="D23" s="160" t="s">
        <v>779</v>
      </c>
      <c r="E23" s="160" t="s">
        <v>780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781</v>
      </c>
      <c r="Q23" s="160" t="s">
        <v>782</v>
      </c>
      <c r="R23" s="160" t="s">
        <v>783</v>
      </c>
      <c r="S23" s="155" t="s">
        <v>631</v>
      </c>
      <c r="V23" s="53" t="s">
        <v>784</v>
      </c>
      <c r="W23" s="53" t="s">
        <v>785</v>
      </c>
      <c r="X23" s="54"/>
      <c r="AA23" s="18" t="s">
        <v>786</v>
      </c>
    </row>
    <row r="24" spans="1:28">
      <c r="A24" s="160">
        <v>1</v>
      </c>
      <c r="B24" s="160" t="s">
        <v>778</v>
      </c>
      <c r="C24" s="160" t="s">
        <v>625</v>
      </c>
      <c r="D24" s="160" t="s">
        <v>787</v>
      </c>
      <c r="E24" s="160" t="s">
        <v>788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789</v>
      </c>
      <c r="Q24" s="160" t="s">
        <v>498</v>
      </c>
      <c r="R24" s="160" t="s">
        <v>688</v>
      </c>
      <c r="S24" s="2" t="s">
        <v>631</v>
      </c>
      <c r="AA24" s="18" t="s">
        <v>790</v>
      </c>
    </row>
    <row r="25" spans="1:28">
      <c r="A25" s="160">
        <v>1</v>
      </c>
      <c r="B25" s="160" t="s">
        <v>778</v>
      </c>
      <c r="C25" s="160" t="s">
        <v>625</v>
      </c>
      <c r="D25" s="160" t="s">
        <v>791</v>
      </c>
      <c r="E25" s="160" t="s">
        <v>792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793</v>
      </c>
      <c r="Q25" s="160" t="s">
        <v>794</v>
      </c>
      <c r="R25" s="160" t="s">
        <v>688</v>
      </c>
      <c r="S25" s="155" t="s">
        <v>631</v>
      </c>
      <c r="AA25" s="18" t="s">
        <v>795</v>
      </c>
    </row>
    <row r="26" spans="1:28" ht="14.45" customHeight="1">
      <c r="A26" s="160">
        <v>1</v>
      </c>
      <c r="B26" s="160" t="s">
        <v>796</v>
      </c>
      <c r="C26" s="160" t="s">
        <v>625</v>
      </c>
      <c r="D26" s="160" t="s">
        <v>797</v>
      </c>
      <c r="E26" s="160" t="s">
        <v>798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799</v>
      </c>
      <c r="Q26" s="160" t="s">
        <v>504</v>
      </c>
      <c r="R26" s="160" t="s">
        <v>703</v>
      </c>
      <c r="S26" s="155" t="s">
        <v>631</v>
      </c>
      <c r="V26" s="266" t="s">
        <v>800</v>
      </c>
      <c r="W26" s="266"/>
      <c r="X26" s="266"/>
      <c r="AA26" s="18" t="s">
        <v>801</v>
      </c>
    </row>
    <row r="27" spans="1:28">
      <c r="A27" s="160">
        <v>1</v>
      </c>
      <c r="B27" s="160" t="s">
        <v>796</v>
      </c>
      <c r="C27" s="160" t="s">
        <v>625</v>
      </c>
      <c r="D27" s="160" t="s">
        <v>802</v>
      </c>
      <c r="E27" s="160" t="s">
        <v>803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804</v>
      </c>
      <c r="Q27" s="160" t="s">
        <v>805</v>
      </c>
      <c r="R27" s="160" t="s">
        <v>703</v>
      </c>
      <c r="S27" s="155" t="s">
        <v>631</v>
      </c>
      <c r="V27" s="62" t="s">
        <v>806</v>
      </c>
      <c r="W27" s="62" t="s">
        <v>807</v>
      </c>
      <c r="X27" s="62" t="s">
        <v>808</v>
      </c>
      <c r="AA27" s="18" t="s">
        <v>809</v>
      </c>
    </row>
    <row r="28" spans="1:28">
      <c r="A28" s="160">
        <v>1</v>
      </c>
      <c r="B28" s="160" t="s">
        <v>796</v>
      </c>
      <c r="C28" s="160" t="s">
        <v>625</v>
      </c>
      <c r="D28" s="160" t="s">
        <v>810</v>
      </c>
      <c r="E28" s="160" t="s">
        <v>811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812</v>
      </c>
      <c r="Q28" s="160" t="s">
        <v>813</v>
      </c>
      <c r="R28" s="160" t="s">
        <v>703</v>
      </c>
      <c r="S28" s="2" t="s">
        <v>631</v>
      </c>
      <c r="V28" s="56" t="s">
        <v>426</v>
      </c>
      <c r="W28" s="55" t="s">
        <v>46</v>
      </c>
      <c r="X28" s="55" t="s">
        <v>814</v>
      </c>
      <c r="AA28" s="18" t="s">
        <v>815</v>
      </c>
    </row>
    <row r="29" spans="1:28">
      <c r="A29" s="160">
        <v>1</v>
      </c>
      <c r="B29" s="160" t="s">
        <v>796</v>
      </c>
      <c r="C29" s="160" t="s">
        <v>625</v>
      </c>
      <c r="D29" s="160" t="s">
        <v>816</v>
      </c>
      <c r="E29" s="160" t="s">
        <v>817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818</v>
      </c>
      <c r="Q29" s="160" t="s">
        <v>819</v>
      </c>
      <c r="R29" s="160" t="s">
        <v>703</v>
      </c>
      <c r="S29" s="2" t="s">
        <v>631</v>
      </c>
      <c r="V29" s="56" t="s">
        <v>307</v>
      </c>
      <c r="W29" s="55" t="s">
        <v>820</v>
      </c>
      <c r="X29" s="55" t="s">
        <v>821</v>
      </c>
      <c r="AA29" s="18" t="s">
        <v>822</v>
      </c>
    </row>
    <row r="30" spans="1:28">
      <c r="A30" s="160">
        <v>1</v>
      </c>
      <c r="B30" s="160" t="s">
        <v>796</v>
      </c>
      <c r="C30" s="160" t="s">
        <v>625</v>
      </c>
      <c r="D30" s="160" t="s">
        <v>823</v>
      </c>
      <c r="E30" s="160" t="s">
        <v>824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825</v>
      </c>
      <c r="Q30" s="160" t="s">
        <v>826</v>
      </c>
      <c r="R30" s="160" t="s">
        <v>647</v>
      </c>
      <c r="S30" s="2" t="s">
        <v>631</v>
      </c>
      <c r="V30" s="56" t="s">
        <v>153</v>
      </c>
      <c r="W30" s="55" t="s">
        <v>827</v>
      </c>
      <c r="X30" s="55" t="s">
        <v>828</v>
      </c>
      <c r="AA30" s="18" t="s">
        <v>829</v>
      </c>
    </row>
    <row r="31" spans="1:28">
      <c r="A31" s="160">
        <v>1</v>
      </c>
      <c r="B31" s="160" t="s">
        <v>796</v>
      </c>
      <c r="C31" s="160" t="s">
        <v>625</v>
      </c>
      <c r="D31" s="160" t="s">
        <v>830</v>
      </c>
      <c r="E31" s="160" t="s">
        <v>831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832</v>
      </c>
      <c r="Q31" s="160" t="s">
        <v>833</v>
      </c>
      <c r="R31" s="160" t="s">
        <v>763</v>
      </c>
      <c r="S31" s="2" t="s">
        <v>631</v>
      </c>
      <c r="V31" s="56" t="s">
        <v>205</v>
      </c>
      <c r="W31" s="55" t="s">
        <v>834</v>
      </c>
      <c r="X31" s="55" t="s">
        <v>835</v>
      </c>
      <c r="AA31" s="18" t="s">
        <v>836</v>
      </c>
    </row>
    <row r="32" spans="1:28">
      <c r="A32" s="160">
        <v>1</v>
      </c>
      <c r="B32" s="160" t="s">
        <v>796</v>
      </c>
      <c r="C32" s="160" t="s">
        <v>625</v>
      </c>
      <c r="D32" s="160" t="s">
        <v>837</v>
      </c>
      <c r="E32" s="160" t="s">
        <v>838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839</v>
      </c>
      <c r="Q32" s="160" t="s">
        <v>462</v>
      </c>
      <c r="R32" s="160" t="s">
        <v>663</v>
      </c>
      <c r="S32" s="2" t="s">
        <v>631</v>
      </c>
      <c r="V32" s="56" t="s">
        <v>172</v>
      </c>
      <c r="W32" s="55" t="s">
        <v>840</v>
      </c>
      <c r="X32" s="55" t="s">
        <v>841</v>
      </c>
      <c r="AA32" s="18" t="s">
        <v>842</v>
      </c>
    </row>
    <row r="33" spans="1:27">
      <c r="A33" s="160">
        <v>1</v>
      </c>
      <c r="B33" s="160" t="s">
        <v>843</v>
      </c>
      <c r="C33" s="160" t="s">
        <v>625</v>
      </c>
      <c r="D33" s="160" t="s">
        <v>844</v>
      </c>
      <c r="E33" s="160" t="s">
        <v>844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845</v>
      </c>
      <c r="Q33" s="160" t="s">
        <v>846</v>
      </c>
      <c r="R33" s="160" t="s">
        <v>847</v>
      </c>
      <c r="S33" s="2" t="s">
        <v>631</v>
      </c>
      <c r="V33" s="56" t="s">
        <v>289</v>
      </c>
      <c r="W33" s="55" t="s">
        <v>848</v>
      </c>
      <c r="X33" s="55" t="s">
        <v>849</v>
      </c>
      <c r="AA33" s="18" t="s">
        <v>850</v>
      </c>
    </row>
    <row r="34" spans="1:27">
      <c r="A34" s="160">
        <v>1</v>
      </c>
      <c r="B34" s="160" t="s">
        <v>843</v>
      </c>
      <c r="C34" s="160" t="s">
        <v>625</v>
      </c>
      <c r="D34" s="160" t="s">
        <v>851</v>
      </c>
      <c r="E34" s="160" t="s">
        <v>851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852</v>
      </c>
      <c r="Q34" s="160" t="s">
        <v>853</v>
      </c>
      <c r="R34" s="160" t="s">
        <v>854</v>
      </c>
      <c r="S34" s="155" t="s">
        <v>631</v>
      </c>
      <c r="V34" s="56" t="s">
        <v>855</v>
      </c>
      <c r="W34" s="55" t="s">
        <v>856</v>
      </c>
      <c r="X34" s="55" t="s">
        <v>857</v>
      </c>
      <c r="AA34" s="57" t="s">
        <v>858</v>
      </c>
    </row>
    <row r="35" spans="1:27">
      <c r="A35" s="160">
        <v>1</v>
      </c>
      <c r="B35" s="160" t="s">
        <v>843</v>
      </c>
      <c r="C35" s="160" t="s">
        <v>625</v>
      </c>
      <c r="D35" s="160" t="s">
        <v>859</v>
      </c>
      <c r="E35" s="160" t="s">
        <v>859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860</v>
      </c>
      <c r="Q35" s="160" t="s">
        <v>861</v>
      </c>
      <c r="R35" s="160" t="s">
        <v>862</v>
      </c>
      <c r="S35" s="155" t="s">
        <v>631</v>
      </c>
      <c r="V35" s="56" t="s">
        <v>396</v>
      </c>
      <c r="W35" s="55" t="s">
        <v>863</v>
      </c>
      <c r="X35" s="55" t="s">
        <v>864</v>
      </c>
      <c r="AA35" s="57" t="s">
        <v>865</v>
      </c>
    </row>
    <row r="36" spans="1:27">
      <c r="A36" s="160">
        <v>1</v>
      </c>
      <c r="B36" s="160" t="s">
        <v>843</v>
      </c>
      <c r="C36" s="160" t="s">
        <v>625</v>
      </c>
      <c r="D36" s="160" t="s">
        <v>866</v>
      </c>
      <c r="E36" s="160" t="s">
        <v>866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867</v>
      </c>
      <c r="Q36" s="160" t="s">
        <v>868</v>
      </c>
      <c r="R36" s="160" t="s">
        <v>639</v>
      </c>
      <c r="S36" s="2" t="s">
        <v>631</v>
      </c>
      <c r="AA36" s="57" t="s">
        <v>869</v>
      </c>
    </row>
    <row r="37" spans="1:27">
      <c r="A37" s="160">
        <v>1</v>
      </c>
      <c r="B37" s="160" t="s">
        <v>843</v>
      </c>
      <c r="C37" s="160" t="s">
        <v>625</v>
      </c>
      <c r="D37" s="160" t="s">
        <v>870</v>
      </c>
      <c r="E37" s="160" t="s">
        <v>870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871</v>
      </c>
      <c r="Q37" s="160" t="s">
        <v>872</v>
      </c>
      <c r="R37" s="160" t="s">
        <v>696</v>
      </c>
      <c r="S37" s="2" t="s">
        <v>631</v>
      </c>
      <c r="AA37" s="57" t="s">
        <v>873</v>
      </c>
    </row>
    <row r="38" spans="1:27">
      <c r="A38" s="160">
        <v>1</v>
      </c>
      <c r="B38" s="160" t="s">
        <v>843</v>
      </c>
      <c r="C38" s="160" t="s">
        <v>625</v>
      </c>
      <c r="D38" s="160" t="s">
        <v>874</v>
      </c>
      <c r="E38" s="160" t="s">
        <v>874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875</v>
      </c>
      <c r="Q38" s="160" t="s">
        <v>876</v>
      </c>
      <c r="R38" s="160" t="s">
        <v>647</v>
      </c>
      <c r="S38" s="155" t="s">
        <v>631</v>
      </c>
      <c r="W38" s="7" t="s">
        <v>877</v>
      </c>
    </row>
    <row r="39" spans="1:27">
      <c r="A39" s="160">
        <v>1</v>
      </c>
      <c r="B39" s="160" t="s">
        <v>843</v>
      </c>
      <c r="C39" s="160" t="s">
        <v>625</v>
      </c>
      <c r="D39" s="160" t="s">
        <v>878</v>
      </c>
      <c r="E39" s="160" t="s">
        <v>878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879</v>
      </c>
      <c r="Q39" s="160" t="s">
        <v>479</v>
      </c>
      <c r="R39" s="160" t="s">
        <v>696</v>
      </c>
      <c r="S39" s="155" t="s">
        <v>631</v>
      </c>
    </row>
    <row r="40" spans="1:27">
      <c r="A40" s="160">
        <v>1</v>
      </c>
      <c r="B40" s="160" t="s">
        <v>843</v>
      </c>
      <c r="C40" s="160" t="s">
        <v>625</v>
      </c>
      <c r="D40" s="160" t="s">
        <v>880</v>
      </c>
      <c r="E40" s="160" t="s">
        <v>880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881</v>
      </c>
      <c r="Q40" s="160" t="s">
        <v>882</v>
      </c>
      <c r="R40" s="160" t="s">
        <v>696</v>
      </c>
      <c r="S40" s="155" t="s">
        <v>631</v>
      </c>
    </row>
    <row r="41" spans="1:27">
      <c r="A41" s="160">
        <v>1</v>
      </c>
      <c r="B41" s="160" t="s">
        <v>843</v>
      </c>
      <c r="C41" s="160" t="s">
        <v>625</v>
      </c>
      <c r="D41" s="160" t="s">
        <v>883</v>
      </c>
      <c r="E41" s="160" t="s">
        <v>883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884</v>
      </c>
      <c r="Q41" s="160" t="s">
        <v>885</v>
      </c>
      <c r="R41" s="160" t="s">
        <v>663</v>
      </c>
      <c r="S41" s="155" t="s">
        <v>631</v>
      </c>
    </row>
    <row r="42" spans="1:27">
      <c r="A42" s="160">
        <v>2</v>
      </c>
      <c r="B42" s="160" t="s">
        <v>182</v>
      </c>
      <c r="C42" s="160" t="s">
        <v>886</v>
      </c>
      <c r="D42" s="160" t="s">
        <v>887</v>
      </c>
      <c r="E42" s="160" t="s">
        <v>887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888</v>
      </c>
      <c r="Q42" s="160" t="s">
        <v>434</v>
      </c>
      <c r="R42" s="160" t="s">
        <v>889</v>
      </c>
      <c r="S42" s="2" t="s">
        <v>890</v>
      </c>
    </row>
    <row r="43" spans="1:27">
      <c r="A43" s="160">
        <v>2</v>
      </c>
      <c r="B43" s="160" t="s">
        <v>182</v>
      </c>
      <c r="C43" s="160" t="s">
        <v>886</v>
      </c>
      <c r="D43" s="160" t="s">
        <v>891</v>
      </c>
      <c r="E43" s="160" t="s">
        <v>891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892</v>
      </c>
      <c r="Q43" s="160" t="s">
        <v>500</v>
      </c>
      <c r="R43" s="160" t="s">
        <v>696</v>
      </c>
      <c r="S43" s="155" t="s">
        <v>890</v>
      </c>
    </row>
    <row r="44" spans="1:27">
      <c r="A44" s="160">
        <v>2</v>
      </c>
      <c r="B44" s="160" t="s">
        <v>182</v>
      </c>
      <c r="C44" s="160" t="s">
        <v>886</v>
      </c>
      <c r="D44" s="160" t="s">
        <v>893</v>
      </c>
      <c r="E44" s="160" t="s">
        <v>893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894</v>
      </c>
      <c r="Q44" s="160" t="s">
        <v>895</v>
      </c>
      <c r="R44" s="160" t="s">
        <v>696</v>
      </c>
      <c r="S44" s="2" t="s">
        <v>890</v>
      </c>
    </row>
    <row r="45" spans="1:27">
      <c r="A45" s="160">
        <v>2</v>
      </c>
      <c r="B45" s="160" t="s">
        <v>182</v>
      </c>
      <c r="C45" s="160" t="s">
        <v>886</v>
      </c>
      <c r="D45" s="160" t="s">
        <v>896</v>
      </c>
      <c r="E45" s="160" t="s">
        <v>896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897</v>
      </c>
      <c r="Q45" s="160" t="s">
        <v>898</v>
      </c>
      <c r="R45" s="160" t="s">
        <v>696</v>
      </c>
      <c r="S45" s="155" t="s">
        <v>890</v>
      </c>
    </row>
    <row r="46" spans="1:27">
      <c r="A46" s="160">
        <v>2</v>
      </c>
      <c r="B46" s="160" t="s">
        <v>182</v>
      </c>
      <c r="C46" s="160" t="s">
        <v>886</v>
      </c>
      <c r="D46" s="160" t="s">
        <v>899</v>
      </c>
      <c r="E46" s="160" t="s">
        <v>899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900</v>
      </c>
      <c r="Q46" s="160" t="s">
        <v>901</v>
      </c>
      <c r="R46" s="160" t="s">
        <v>902</v>
      </c>
      <c r="S46" s="2" t="s">
        <v>890</v>
      </c>
    </row>
    <row r="47" spans="1:27">
      <c r="A47" s="160">
        <v>2</v>
      </c>
      <c r="B47" s="160" t="s">
        <v>182</v>
      </c>
      <c r="C47" s="160" t="s">
        <v>886</v>
      </c>
      <c r="D47" s="160" t="s">
        <v>903</v>
      </c>
      <c r="E47" s="160" t="s">
        <v>903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900</v>
      </c>
      <c r="Q47" s="160" t="s">
        <v>901</v>
      </c>
      <c r="R47" s="160" t="s">
        <v>756</v>
      </c>
      <c r="S47" s="155" t="s">
        <v>890</v>
      </c>
    </row>
    <row r="48" spans="1:27">
      <c r="A48" s="160">
        <v>2</v>
      </c>
      <c r="B48" s="160" t="s">
        <v>182</v>
      </c>
      <c r="C48" s="160" t="s">
        <v>886</v>
      </c>
      <c r="D48" s="160" t="s">
        <v>904</v>
      </c>
      <c r="E48" s="160" t="s">
        <v>904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900</v>
      </c>
      <c r="Q48" s="160" t="s">
        <v>901</v>
      </c>
      <c r="R48" s="160" t="s">
        <v>889</v>
      </c>
      <c r="S48" s="2" t="s">
        <v>890</v>
      </c>
    </row>
    <row r="49" spans="1:19">
      <c r="A49" s="160">
        <v>2</v>
      </c>
      <c r="B49" s="160" t="s">
        <v>182</v>
      </c>
      <c r="C49" s="160" t="s">
        <v>886</v>
      </c>
      <c r="D49" s="160" t="s">
        <v>905</v>
      </c>
      <c r="E49" s="160" t="s">
        <v>905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900</v>
      </c>
      <c r="Q49" s="160" t="s">
        <v>901</v>
      </c>
      <c r="R49" s="160" t="s">
        <v>663</v>
      </c>
      <c r="S49" s="155" t="s">
        <v>890</v>
      </c>
    </row>
    <row r="50" spans="1:19">
      <c r="A50" s="160">
        <v>2</v>
      </c>
      <c r="B50" s="160" t="s">
        <v>182</v>
      </c>
      <c r="C50" s="160" t="s">
        <v>886</v>
      </c>
      <c r="D50" s="160" t="s">
        <v>906</v>
      </c>
      <c r="E50" s="160" t="s">
        <v>906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900</v>
      </c>
      <c r="Q50" s="160" t="s">
        <v>901</v>
      </c>
      <c r="R50" s="160" t="s">
        <v>696</v>
      </c>
      <c r="S50" s="155" t="s">
        <v>890</v>
      </c>
    </row>
    <row r="51" spans="1:19">
      <c r="A51" s="160">
        <v>2</v>
      </c>
      <c r="B51" s="160" t="s">
        <v>182</v>
      </c>
      <c r="C51" s="160" t="s">
        <v>886</v>
      </c>
      <c r="D51" s="160" t="s">
        <v>907</v>
      </c>
      <c r="E51" s="160" t="s">
        <v>907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900</v>
      </c>
      <c r="Q51" s="160" t="s">
        <v>901</v>
      </c>
      <c r="R51" s="160" t="s">
        <v>908</v>
      </c>
      <c r="S51" s="155" t="s">
        <v>890</v>
      </c>
    </row>
    <row r="52" spans="1:19">
      <c r="A52" s="160">
        <v>2</v>
      </c>
      <c r="B52" s="160" t="s">
        <v>182</v>
      </c>
      <c r="C52" s="160" t="s">
        <v>886</v>
      </c>
      <c r="D52" s="160" t="s">
        <v>909</v>
      </c>
      <c r="E52" s="160" t="s">
        <v>909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910</v>
      </c>
      <c r="Q52" s="160" t="s">
        <v>911</v>
      </c>
      <c r="R52" s="160" t="s">
        <v>703</v>
      </c>
      <c r="S52" s="155" t="s">
        <v>890</v>
      </c>
    </row>
    <row r="53" spans="1:19">
      <c r="A53" s="160">
        <v>2</v>
      </c>
      <c r="B53" s="160" t="s">
        <v>182</v>
      </c>
      <c r="C53" s="160" t="s">
        <v>886</v>
      </c>
      <c r="D53" s="160" t="s">
        <v>912</v>
      </c>
      <c r="E53" s="160" t="s">
        <v>912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910</v>
      </c>
      <c r="Q53" s="160" t="s">
        <v>911</v>
      </c>
      <c r="R53" s="160" t="s">
        <v>696</v>
      </c>
      <c r="S53" s="2" t="s">
        <v>890</v>
      </c>
    </row>
    <row r="54" spans="1:19">
      <c r="A54" s="160">
        <v>3</v>
      </c>
      <c r="B54" s="160" t="s">
        <v>179</v>
      </c>
      <c r="C54" s="160" t="s">
        <v>913</v>
      </c>
      <c r="D54" s="160" t="s">
        <v>914</v>
      </c>
      <c r="E54" s="160" t="s">
        <v>915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916</v>
      </c>
      <c r="Q54" s="160" t="s">
        <v>428</v>
      </c>
      <c r="R54" s="160" t="s">
        <v>889</v>
      </c>
      <c r="S54" s="2" t="s">
        <v>890</v>
      </c>
    </row>
    <row r="55" spans="1:19">
      <c r="A55" s="160">
        <v>3</v>
      </c>
      <c r="B55" s="160" t="s">
        <v>179</v>
      </c>
      <c r="C55" s="160" t="s">
        <v>913</v>
      </c>
      <c r="D55" s="160" t="s">
        <v>917</v>
      </c>
      <c r="E55" s="160" t="s">
        <v>918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919</v>
      </c>
      <c r="Q55" s="160" t="s">
        <v>438</v>
      </c>
      <c r="R55" s="160" t="s">
        <v>920</v>
      </c>
      <c r="S55" s="2" t="s">
        <v>890</v>
      </c>
    </row>
    <row r="56" spans="1:19">
      <c r="A56" s="160">
        <v>3</v>
      </c>
      <c r="B56" s="160" t="s">
        <v>179</v>
      </c>
      <c r="C56" s="160" t="s">
        <v>913</v>
      </c>
      <c r="D56" s="160" t="s">
        <v>921</v>
      </c>
      <c r="E56" s="160" t="s">
        <v>922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923</v>
      </c>
      <c r="Q56" s="160" t="s">
        <v>924</v>
      </c>
      <c r="R56" s="160" t="s">
        <v>925</v>
      </c>
      <c r="S56" s="2" t="s">
        <v>890</v>
      </c>
    </row>
    <row r="57" spans="1:19">
      <c r="A57" s="160">
        <v>3</v>
      </c>
      <c r="B57" s="160" t="s">
        <v>179</v>
      </c>
      <c r="C57" s="160" t="s">
        <v>913</v>
      </c>
      <c r="D57" s="160" t="s">
        <v>926</v>
      </c>
      <c r="E57" s="160" t="s">
        <v>927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928</v>
      </c>
      <c r="Q57" s="160" t="s">
        <v>929</v>
      </c>
      <c r="R57" s="160" t="s">
        <v>696</v>
      </c>
      <c r="S57" s="2" t="s">
        <v>890</v>
      </c>
    </row>
    <row r="58" spans="1:19">
      <c r="A58" s="160">
        <v>3</v>
      </c>
      <c r="B58" s="160" t="s">
        <v>179</v>
      </c>
      <c r="C58" s="160" t="s">
        <v>913</v>
      </c>
      <c r="D58" s="160" t="s">
        <v>930</v>
      </c>
      <c r="E58" s="160" t="s">
        <v>931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932</v>
      </c>
      <c r="Q58" s="160" t="s">
        <v>933</v>
      </c>
      <c r="R58" s="160" t="s">
        <v>934</v>
      </c>
      <c r="S58" s="2" t="s">
        <v>890</v>
      </c>
    </row>
    <row r="59" spans="1:19">
      <c r="A59" s="160">
        <v>3</v>
      </c>
      <c r="B59" s="160" t="s">
        <v>179</v>
      </c>
      <c r="C59" s="160" t="s">
        <v>913</v>
      </c>
      <c r="D59" s="160" t="s">
        <v>935</v>
      </c>
      <c r="E59" s="160" t="s">
        <v>936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937</v>
      </c>
      <c r="Q59" s="160" t="s">
        <v>938</v>
      </c>
      <c r="R59" s="160" t="s">
        <v>939</v>
      </c>
      <c r="S59" s="2" t="s">
        <v>890</v>
      </c>
    </row>
    <row r="60" spans="1:19">
      <c r="A60" s="160">
        <v>3</v>
      </c>
      <c r="B60" s="160" t="s">
        <v>179</v>
      </c>
      <c r="C60" s="160" t="s">
        <v>913</v>
      </c>
      <c r="D60" s="160" t="s">
        <v>940</v>
      </c>
      <c r="E60" s="160" t="s">
        <v>941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937</v>
      </c>
      <c r="Q60" s="160" t="s">
        <v>938</v>
      </c>
      <c r="R60" s="160" t="s">
        <v>696</v>
      </c>
      <c r="S60" s="2" t="s">
        <v>890</v>
      </c>
    </row>
    <row r="61" spans="1:19">
      <c r="A61" s="160">
        <v>3</v>
      </c>
      <c r="B61" s="160" t="s">
        <v>179</v>
      </c>
      <c r="C61" s="160" t="s">
        <v>913</v>
      </c>
      <c r="D61" s="160" t="s">
        <v>942</v>
      </c>
      <c r="E61" s="160" t="s">
        <v>943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944</v>
      </c>
      <c r="Q61" s="160" t="s">
        <v>945</v>
      </c>
      <c r="R61" s="160" t="s">
        <v>696</v>
      </c>
      <c r="S61" s="2" t="s">
        <v>890</v>
      </c>
    </row>
    <row r="62" spans="1:19">
      <c r="A62" s="160">
        <v>3</v>
      </c>
      <c r="B62" s="160" t="s">
        <v>179</v>
      </c>
      <c r="C62" s="160" t="s">
        <v>913</v>
      </c>
      <c r="D62" s="160" t="s">
        <v>946</v>
      </c>
      <c r="E62" s="160" t="s">
        <v>947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948</v>
      </c>
      <c r="Q62" s="160" t="s">
        <v>949</v>
      </c>
      <c r="R62" s="160" t="s">
        <v>696</v>
      </c>
      <c r="S62" s="2" t="s">
        <v>890</v>
      </c>
    </row>
    <row r="63" spans="1:19">
      <c r="A63" s="160">
        <v>3</v>
      </c>
      <c r="B63" s="160" t="s">
        <v>179</v>
      </c>
      <c r="C63" s="160" t="s">
        <v>913</v>
      </c>
      <c r="D63" s="160" t="s">
        <v>950</v>
      </c>
      <c r="E63" s="160" t="s">
        <v>951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952</v>
      </c>
      <c r="Q63" s="160" t="s">
        <v>953</v>
      </c>
      <c r="R63" s="160" t="s">
        <v>696</v>
      </c>
      <c r="S63" s="2" t="s">
        <v>890</v>
      </c>
    </row>
    <row r="64" spans="1:19">
      <c r="A64" s="160">
        <v>3</v>
      </c>
      <c r="B64" s="160" t="s">
        <v>179</v>
      </c>
      <c r="C64" s="160" t="s">
        <v>913</v>
      </c>
      <c r="D64" s="160" t="s">
        <v>954</v>
      </c>
      <c r="E64" s="160" t="s">
        <v>955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956</v>
      </c>
      <c r="Q64" s="160" t="s">
        <v>544</v>
      </c>
      <c r="R64" s="160" t="s">
        <v>696</v>
      </c>
      <c r="S64" s="2" t="s">
        <v>890</v>
      </c>
    </row>
    <row r="65" spans="1:19">
      <c r="A65" s="160">
        <v>3</v>
      </c>
      <c r="B65" s="160" t="s">
        <v>179</v>
      </c>
      <c r="C65" s="160" t="s">
        <v>913</v>
      </c>
      <c r="D65" s="160" t="s">
        <v>957</v>
      </c>
      <c r="E65" s="160" t="s">
        <v>958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959</v>
      </c>
      <c r="Q65" s="160" t="s">
        <v>960</v>
      </c>
      <c r="R65" s="160" t="s">
        <v>696</v>
      </c>
      <c r="S65" s="2" t="s">
        <v>890</v>
      </c>
    </row>
    <row r="66" spans="1:19">
      <c r="A66" s="160">
        <v>3</v>
      </c>
      <c r="B66" s="160" t="s">
        <v>179</v>
      </c>
      <c r="C66" s="160" t="s">
        <v>913</v>
      </c>
      <c r="D66" s="160" t="s">
        <v>961</v>
      </c>
      <c r="E66" s="160" t="s">
        <v>962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963</v>
      </c>
      <c r="Q66" s="160" t="s">
        <v>964</v>
      </c>
      <c r="R66" s="160" t="s">
        <v>696</v>
      </c>
      <c r="S66" s="2" t="s">
        <v>890</v>
      </c>
    </row>
    <row r="67" spans="1:19">
      <c r="A67" s="160">
        <v>3</v>
      </c>
      <c r="B67" s="160" t="s">
        <v>179</v>
      </c>
      <c r="C67" s="160" t="s">
        <v>913</v>
      </c>
      <c r="D67" s="160" t="s">
        <v>965</v>
      </c>
      <c r="E67" s="160" t="s">
        <v>966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967</v>
      </c>
      <c r="Q67" s="160" t="s">
        <v>568</v>
      </c>
      <c r="R67" s="160" t="s">
        <v>672</v>
      </c>
      <c r="S67" s="2" t="s">
        <v>890</v>
      </c>
    </row>
    <row r="68" spans="1:19">
      <c r="A68" s="160">
        <v>3</v>
      </c>
      <c r="B68" s="160" t="s">
        <v>179</v>
      </c>
      <c r="C68" s="160" t="s">
        <v>913</v>
      </c>
      <c r="D68" s="160" t="s">
        <v>968</v>
      </c>
      <c r="E68" s="160" t="s">
        <v>969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970</v>
      </c>
      <c r="Q68" s="160" t="s">
        <v>971</v>
      </c>
      <c r="R68" s="160" t="s">
        <v>696</v>
      </c>
      <c r="S68" s="2" t="s">
        <v>890</v>
      </c>
    </row>
    <row r="69" spans="1:19">
      <c r="A69" s="160">
        <v>3</v>
      </c>
      <c r="B69" s="160" t="s">
        <v>179</v>
      </c>
      <c r="C69" s="160" t="s">
        <v>913</v>
      </c>
      <c r="D69" s="160" t="s">
        <v>972</v>
      </c>
      <c r="E69" s="160" t="s">
        <v>973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974</v>
      </c>
      <c r="Q69" s="160" t="s">
        <v>975</v>
      </c>
      <c r="R69" s="160" t="s">
        <v>696</v>
      </c>
      <c r="S69" s="2" t="s">
        <v>890</v>
      </c>
    </row>
    <row r="70" spans="1:19">
      <c r="A70" s="160">
        <v>3</v>
      </c>
      <c r="B70" s="160" t="s">
        <v>179</v>
      </c>
      <c r="C70" s="160" t="s">
        <v>976</v>
      </c>
      <c r="D70" s="160" t="s">
        <v>977</v>
      </c>
      <c r="E70" s="160" t="s">
        <v>978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979</v>
      </c>
      <c r="Q70" s="160" t="s">
        <v>980</v>
      </c>
      <c r="R70" s="160" t="s">
        <v>663</v>
      </c>
      <c r="S70" s="155" t="s">
        <v>890</v>
      </c>
    </row>
    <row r="71" spans="1:19">
      <c r="A71" s="160">
        <v>3</v>
      </c>
      <c r="B71" s="160" t="s">
        <v>179</v>
      </c>
      <c r="C71" s="160" t="s">
        <v>976</v>
      </c>
      <c r="D71" s="160" t="s">
        <v>981</v>
      </c>
      <c r="E71" s="160" t="s">
        <v>982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979</v>
      </c>
      <c r="Q71" s="160" t="s">
        <v>980</v>
      </c>
      <c r="R71" s="160" t="s">
        <v>663</v>
      </c>
      <c r="S71" s="155" t="s">
        <v>890</v>
      </c>
    </row>
    <row r="72" spans="1:19">
      <c r="A72" s="160">
        <v>3</v>
      </c>
      <c r="B72" s="160" t="s">
        <v>179</v>
      </c>
      <c r="C72" s="160" t="s">
        <v>976</v>
      </c>
      <c r="D72" s="160" t="s">
        <v>983</v>
      </c>
      <c r="E72" s="160" t="s">
        <v>984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979</v>
      </c>
      <c r="Q72" s="160" t="s">
        <v>980</v>
      </c>
      <c r="R72" s="160" t="s">
        <v>663</v>
      </c>
      <c r="S72" s="155" t="s">
        <v>890</v>
      </c>
    </row>
    <row r="73" spans="1:19">
      <c r="A73" s="160">
        <v>3</v>
      </c>
      <c r="B73" s="160" t="s">
        <v>179</v>
      </c>
      <c r="C73" s="160" t="s">
        <v>976</v>
      </c>
      <c r="D73" s="160" t="s">
        <v>985</v>
      </c>
      <c r="E73" s="160" t="s">
        <v>986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987</v>
      </c>
      <c r="Q73" s="160" t="s">
        <v>988</v>
      </c>
      <c r="R73" s="160" t="s">
        <v>696</v>
      </c>
      <c r="S73" s="155" t="s">
        <v>890</v>
      </c>
    </row>
    <row r="74" spans="1:19">
      <c r="A74" s="160">
        <v>3</v>
      </c>
      <c r="B74" s="160" t="s">
        <v>179</v>
      </c>
      <c r="C74" s="160" t="s">
        <v>976</v>
      </c>
      <c r="D74" s="160" t="s">
        <v>989</v>
      </c>
      <c r="E74" s="160" t="s">
        <v>990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991</v>
      </c>
      <c r="Q74" s="160" t="s">
        <v>988</v>
      </c>
      <c r="R74" s="160" t="s">
        <v>696</v>
      </c>
      <c r="S74" s="155" t="s">
        <v>890</v>
      </c>
    </row>
    <row r="75" spans="1:19">
      <c r="A75" s="160">
        <v>3</v>
      </c>
      <c r="B75" s="160" t="s">
        <v>179</v>
      </c>
      <c r="C75" s="160" t="s">
        <v>976</v>
      </c>
      <c r="D75" s="160" t="s">
        <v>992</v>
      </c>
      <c r="E75" s="160" t="s">
        <v>993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994</v>
      </c>
      <c r="Q75" s="160" t="s">
        <v>988</v>
      </c>
      <c r="R75" s="160" t="s">
        <v>696</v>
      </c>
      <c r="S75" s="155" t="s">
        <v>890</v>
      </c>
    </row>
    <row r="76" spans="1:19">
      <c r="A76" s="160">
        <v>3</v>
      </c>
      <c r="B76" s="160" t="s">
        <v>179</v>
      </c>
      <c r="C76" s="160" t="s">
        <v>976</v>
      </c>
      <c r="D76" s="160" t="s">
        <v>995</v>
      </c>
      <c r="E76" s="160" t="s">
        <v>996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994</v>
      </c>
      <c r="Q76" s="160" t="s">
        <v>988</v>
      </c>
      <c r="R76" s="160" t="s">
        <v>696</v>
      </c>
      <c r="S76" s="155" t="s">
        <v>890</v>
      </c>
    </row>
    <row r="77" spans="1:19">
      <c r="A77" s="160">
        <v>3</v>
      </c>
      <c r="B77" s="160" t="s">
        <v>179</v>
      </c>
      <c r="C77" s="160" t="s">
        <v>976</v>
      </c>
      <c r="D77" s="160" t="s">
        <v>997</v>
      </c>
      <c r="E77" s="160" t="s">
        <v>998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999</v>
      </c>
      <c r="Q77" s="160" t="s">
        <v>988</v>
      </c>
      <c r="R77" s="160" t="s">
        <v>696</v>
      </c>
      <c r="S77" s="155" t="s">
        <v>890</v>
      </c>
    </row>
    <row r="78" spans="1:19">
      <c r="A78" s="160">
        <v>3</v>
      </c>
      <c r="B78" s="160" t="s">
        <v>179</v>
      </c>
      <c r="C78" s="160" t="s">
        <v>976</v>
      </c>
      <c r="D78" s="160" t="s">
        <v>1000</v>
      </c>
      <c r="E78" s="160" t="s">
        <v>1001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1002</v>
      </c>
      <c r="Q78" s="160" t="s">
        <v>988</v>
      </c>
      <c r="R78" s="160" t="s">
        <v>696</v>
      </c>
      <c r="S78" s="155" t="s">
        <v>890</v>
      </c>
    </row>
    <row r="79" spans="1:19">
      <c r="A79" s="160">
        <v>3</v>
      </c>
      <c r="B79" s="160" t="s">
        <v>179</v>
      </c>
      <c r="C79" s="160" t="s">
        <v>976</v>
      </c>
      <c r="D79" s="160" t="s">
        <v>1003</v>
      </c>
      <c r="E79" s="160" t="s">
        <v>1004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1005</v>
      </c>
      <c r="Q79" s="160" t="s">
        <v>1006</v>
      </c>
      <c r="R79" s="160" t="s">
        <v>696</v>
      </c>
      <c r="S79" s="155" t="s">
        <v>890</v>
      </c>
    </row>
    <row r="80" spans="1:19">
      <c r="A80" s="160">
        <v>3</v>
      </c>
      <c r="B80" s="160" t="s">
        <v>179</v>
      </c>
      <c r="C80" s="160" t="s">
        <v>976</v>
      </c>
      <c r="D80" s="160" t="s">
        <v>1007</v>
      </c>
      <c r="E80" s="160" t="s">
        <v>1008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1009</v>
      </c>
      <c r="Q80" s="160" t="s">
        <v>1010</v>
      </c>
      <c r="R80" s="160" t="s">
        <v>696</v>
      </c>
      <c r="S80" s="155" t="s">
        <v>890</v>
      </c>
    </row>
    <row r="81" spans="1:19">
      <c r="A81" s="160">
        <v>3</v>
      </c>
      <c r="B81" s="160" t="s">
        <v>179</v>
      </c>
      <c r="C81" s="160" t="s">
        <v>976</v>
      </c>
      <c r="D81" s="160" t="s">
        <v>1011</v>
      </c>
      <c r="E81" s="160" t="s">
        <v>1012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1013</v>
      </c>
      <c r="Q81" s="160" t="s">
        <v>1014</v>
      </c>
      <c r="R81" s="160" t="s">
        <v>703</v>
      </c>
      <c r="S81" s="2" t="s">
        <v>890</v>
      </c>
    </row>
    <row r="82" spans="1:19">
      <c r="A82" s="160">
        <v>3</v>
      </c>
      <c r="B82" s="160" t="s">
        <v>179</v>
      </c>
      <c r="C82" s="160" t="s">
        <v>976</v>
      </c>
      <c r="D82" s="160" t="s">
        <v>1015</v>
      </c>
      <c r="E82" s="160" t="s">
        <v>1016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1017</v>
      </c>
      <c r="Q82" s="160" t="s">
        <v>1018</v>
      </c>
      <c r="R82" s="160" t="s">
        <v>696</v>
      </c>
      <c r="S82" s="155" t="s">
        <v>890</v>
      </c>
    </row>
    <row r="83" spans="1:19">
      <c r="A83" s="160">
        <v>3</v>
      </c>
      <c r="B83" s="160" t="s">
        <v>179</v>
      </c>
      <c r="C83" s="160" t="s">
        <v>1019</v>
      </c>
      <c r="D83" s="160" t="s">
        <v>1015</v>
      </c>
      <c r="E83" s="160" t="s">
        <v>1020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1021</v>
      </c>
      <c r="Q83" s="160" t="s">
        <v>1022</v>
      </c>
      <c r="R83" s="160" t="s">
        <v>696</v>
      </c>
      <c r="S83" s="2" t="s">
        <v>890</v>
      </c>
    </row>
    <row r="84" spans="1:19">
      <c r="A84" s="160">
        <v>3</v>
      </c>
      <c r="B84" s="160" t="s">
        <v>179</v>
      </c>
      <c r="C84" s="160" t="s">
        <v>1023</v>
      </c>
      <c r="D84" s="160" t="s">
        <v>1015</v>
      </c>
      <c r="E84" s="160" t="s">
        <v>1024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1025</v>
      </c>
      <c r="Q84" s="160" t="s">
        <v>1026</v>
      </c>
      <c r="R84" s="160" t="s">
        <v>696</v>
      </c>
      <c r="S84" s="155" t="s">
        <v>890</v>
      </c>
    </row>
    <row r="85" spans="1:19">
      <c r="A85" s="160">
        <v>3</v>
      </c>
      <c r="B85" s="160" t="s">
        <v>179</v>
      </c>
      <c r="C85" s="160" t="s">
        <v>976</v>
      </c>
      <c r="D85" s="160" t="s">
        <v>1027</v>
      </c>
      <c r="E85" s="160" t="s">
        <v>1028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1029</v>
      </c>
      <c r="Q85" s="160" t="s">
        <v>489</v>
      </c>
      <c r="R85" s="160" t="s">
        <v>696</v>
      </c>
      <c r="S85" s="155" t="s">
        <v>890</v>
      </c>
    </row>
    <row r="86" spans="1:19">
      <c r="A86" s="160">
        <v>3</v>
      </c>
      <c r="B86" s="160" t="s">
        <v>179</v>
      </c>
      <c r="C86" s="160" t="s">
        <v>1019</v>
      </c>
      <c r="D86" s="160" t="s">
        <v>1030</v>
      </c>
      <c r="E86" s="160" t="s">
        <v>1031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1032</v>
      </c>
      <c r="Q86" s="160" t="s">
        <v>1033</v>
      </c>
      <c r="R86" s="160" t="s">
        <v>696</v>
      </c>
      <c r="S86" s="155" t="s">
        <v>890</v>
      </c>
    </row>
    <row r="87" spans="1:19">
      <c r="A87" s="160">
        <v>3</v>
      </c>
      <c r="B87" s="160" t="s">
        <v>179</v>
      </c>
      <c r="C87" s="160" t="s">
        <v>1023</v>
      </c>
      <c r="D87" s="160" t="s">
        <v>1030</v>
      </c>
      <c r="E87" s="160" t="s">
        <v>1034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1035</v>
      </c>
      <c r="P87" s="160" t="s">
        <v>1036</v>
      </c>
      <c r="Q87" s="160" t="s">
        <v>1037</v>
      </c>
      <c r="R87" s="160" t="s">
        <v>1038</v>
      </c>
      <c r="S87" s="155" t="s">
        <v>890</v>
      </c>
    </row>
    <row r="88" spans="1:19">
      <c r="A88" s="160">
        <v>3</v>
      </c>
      <c r="B88" s="160" t="s">
        <v>179</v>
      </c>
      <c r="C88" s="160" t="s">
        <v>1019</v>
      </c>
      <c r="D88" s="160" t="s">
        <v>1039</v>
      </c>
      <c r="E88" s="160" t="s">
        <v>1040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1041</v>
      </c>
      <c r="Q88" s="160" t="s">
        <v>1042</v>
      </c>
      <c r="R88" s="160" t="s">
        <v>1043</v>
      </c>
      <c r="S88" s="155" t="s">
        <v>890</v>
      </c>
    </row>
    <row r="89" spans="1:19">
      <c r="A89" s="160">
        <v>3</v>
      </c>
      <c r="B89" s="160" t="s">
        <v>179</v>
      </c>
      <c r="C89" s="160" t="s">
        <v>1023</v>
      </c>
      <c r="D89" s="160" t="s">
        <v>1039</v>
      </c>
      <c r="E89" s="160" t="s">
        <v>1044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1045</v>
      </c>
      <c r="Q89" s="160" t="s">
        <v>540</v>
      </c>
      <c r="R89" s="160" t="s">
        <v>696</v>
      </c>
      <c r="S89" s="155" t="s">
        <v>890</v>
      </c>
    </row>
    <row r="90" spans="1:19">
      <c r="A90" s="160">
        <v>3</v>
      </c>
      <c r="B90" s="160" t="s">
        <v>179</v>
      </c>
      <c r="C90" s="160" t="s">
        <v>976</v>
      </c>
      <c r="D90" s="160" t="s">
        <v>1046</v>
      </c>
      <c r="E90" s="160" t="s">
        <v>1047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1048</v>
      </c>
      <c r="Q90" s="160" t="s">
        <v>1049</v>
      </c>
      <c r="R90" s="160" t="s">
        <v>696</v>
      </c>
      <c r="S90" s="155" t="s">
        <v>890</v>
      </c>
    </row>
    <row r="91" spans="1:19">
      <c r="A91" s="160">
        <v>3</v>
      </c>
      <c r="B91" s="160" t="s">
        <v>179</v>
      </c>
      <c r="C91" s="160" t="s">
        <v>1023</v>
      </c>
      <c r="D91" s="160" t="s">
        <v>1046</v>
      </c>
      <c r="E91" s="160" t="s">
        <v>1050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1051</v>
      </c>
      <c r="Q91" s="160" t="s">
        <v>1052</v>
      </c>
      <c r="R91" s="160" t="s">
        <v>696</v>
      </c>
      <c r="S91" s="155" t="s">
        <v>890</v>
      </c>
    </row>
    <row r="92" spans="1:19">
      <c r="A92" s="160">
        <v>3</v>
      </c>
      <c r="B92" s="160" t="s">
        <v>179</v>
      </c>
      <c r="C92" s="160" t="s">
        <v>976</v>
      </c>
      <c r="D92" s="160" t="s">
        <v>1053</v>
      </c>
      <c r="E92" s="160" t="s">
        <v>1054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1055</v>
      </c>
      <c r="Q92" s="160" t="s">
        <v>1056</v>
      </c>
      <c r="R92" s="160" t="s">
        <v>663</v>
      </c>
      <c r="S92" s="155" t="s">
        <v>890</v>
      </c>
    </row>
    <row r="93" spans="1:19">
      <c r="A93" s="160">
        <v>3</v>
      </c>
      <c r="B93" s="160" t="s">
        <v>179</v>
      </c>
      <c r="C93" s="160" t="s">
        <v>1019</v>
      </c>
      <c r="D93" s="160" t="s">
        <v>1057</v>
      </c>
      <c r="E93" s="160" t="s">
        <v>1058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1059</v>
      </c>
      <c r="Q93" s="160" t="s">
        <v>534</v>
      </c>
      <c r="R93" s="160" t="s">
        <v>672</v>
      </c>
      <c r="S93" s="155" t="s">
        <v>1060</v>
      </c>
    </row>
    <row r="94" spans="1:19">
      <c r="A94" s="160">
        <v>3</v>
      </c>
      <c r="B94" s="160" t="s">
        <v>179</v>
      </c>
      <c r="C94" s="160" t="s">
        <v>976</v>
      </c>
      <c r="D94" s="160" t="s">
        <v>1061</v>
      </c>
      <c r="E94" s="160" t="s">
        <v>1062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1063</v>
      </c>
      <c r="Q94" s="160" t="s">
        <v>1064</v>
      </c>
      <c r="R94" s="160" t="s">
        <v>647</v>
      </c>
      <c r="S94" s="155" t="s">
        <v>1060</v>
      </c>
    </row>
    <row r="95" spans="1:19">
      <c r="A95" s="160">
        <v>3</v>
      </c>
      <c r="B95" s="160" t="s">
        <v>179</v>
      </c>
      <c r="C95" s="160" t="s">
        <v>1019</v>
      </c>
      <c r="D95" s="160" t="s">
        <v>1065</v>
      </c>
      <c r="E95" s="160" t="s">
        <v>1066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1067</v>
      </c>
      <c r="Q95" s="160" t="s">
        <v>1068</v>
      </c>
      <c r="R95" s="160" t="s">
        <v>663</v>
      </c>
      <c r="S95" s="155" t="s">
        <v>1060</v>
      </c>
    </row>
    <row r="96" spans="1:19">
      <c r="A96" s="160">
        <v>3</v>
      </c>
      <c r="B96" s="160" t="s">
        <v>179</v>
      </c>
      <c r="C96" s="160" t="s">
        <v>1019</v>
      </c>
      <c r="D96" s="160" t="s">
        <v>1069</v>
      </c>
      <c r="E96" s="160" t="s">
        <v>1070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1071</v>
      </c>
      <c r="Q96" s="160" t="s">
        <v>1072</v>
      </c>
      <c r="R96" s="160" t="s">
        <v>663</v>
      </c>
      <c r="S96" s="155" t="s">
        <v>1060</v>
      </c>
    </row>
    <row r="97" spans="1:19">
      <c r="A97" s="160">
        <v>3</v>
      </c>
      <c r="B97" s="160" t="s">
        <v>179</v>
      </c>
      <c r="C97" s="160" t="s">
        <v>1073</v>
      </c>
      <c r="D97" s="160" t="s">
        <v>1074</v>
      </c>
      <c r="E97" s="160" t="s">
        <v>1075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1076</v>
      </c>
      <c r="Q97" s="160" t="s">
        <v>1077</v>
      </c>
      <c r="R97" s="160" t="s">
        <v>1078</v>
      </c>
      <c r="S97" s="155" t="s">
        <v>1060</v>
      </c>
    </row>
    <row r="98" spans="1:19">
      <c r="A98" s="160">
        <v>3</v>
      </c>
      <c r="B98" s="160" t="s">
        <v>179</v>
      </c>
      <c r="C98" s="160" t="s">
        <v>1073</v>
      </c>
      <c r="D98" s="160" t="s">
        <v>1079</v>
      </c>
      <c r="E98" s="160" t="s">
        <v>1080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1081</v>
      </c>
      <c r="Q98" s="160" t="s">
        <v>1077</v>
      </c>
      <c r="R98" s="160" t="s">
        <v>1043</v>
      </c>
      <c r="S98" s="2" t="s">
        <v>1060</v>
      </c>
    </row>
    <row r="99" spans="1:19">
      <c r="A99" s="160">
        <v>3</v>
      </c>
      <c r="B99" s="160" t="s">
        <v>179</v>
      </c>
      <c r="C99" s="160" t="s">
        <v>1073</v>
      </c>
      <c r="D99" s="160" t="s">
        <v>1082</v>
      </c>
      <c r="E99" s="160" t="s">
        <v>1083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1084</v>
      </c>
      <c r="Q99" s="160" t="s">
        <v>1077</v>
      </c>
      <c r="R99" s="160" t="s">
        <v>1085</v>
      </c>
      <c r="S99" s="2" t="s">
        <v>1060</v>
      </c>
    </row>
    <row r="100" spans="1:19">
      <c r="A100" s="160">
        <v>3</v>
      </c>
      <c r="B100" s="160" t="s">
        <v>179</v>
      </c>
      <c r="C100" s="160" t="s">
        <v>1073</v>
      </c>
      <c r="D100" s="160" t="s">
        <v>1086</v>
      </c>
      <c r="E100" s="160" t="s">
        <v>1087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1088</v>
      </c>
      <c r="Q100" s="160" t="s">
        <v>1077</v>
      </c>
      <c r="R100" s="160" t="s">
        <v>1089</v>
      </c>
      <c r="S100" s="2" t="s">
        <v>1060</v>
      </c>
    </row>
    <row r="101" spans="1:19">
      <c r="A101" s="160">
        <v>3</v>
      </c>
      <c r="B101" s="160" t="s">
        <v>179</v>
      </c>
      <c r="C101" s="160" t="s">
        <v>913</v>
      </c>
      <c r="D101" s="160" t="s">
        <v>1090</v>
      </c>
      <c r="E101" s="160" t="s">
        <v>1091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1092</v>
      </c>
      <c r="Q101" s="160" t="s">
        <v>1077</v>
      </c>
      <c r="R101" s="160" t="s">
        <v>1093</v>
      </c>
      <c r="S101" s="155" t="s">
        <v>1060</v>
      </c>
    </row>
    <row r="102" spans="1:19">
      <c r="A102" s="160">
        <v>3</v>
      </c>
      <c r="B102" s="160" t="s">
        <v>179</v>
      </c>
      <c r="C102" s="160" t="s">
        <v>913</v>
      </c>
      <c r="D102" s="160" t="s">
        <v>1094</v>
      </c>
      <c r="E102" s="160" t="s">
        <v>1095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1096</v>
      </c>
      <c r="Q102" s="160" t="s">
        <v>1077</v>
      </c>
      <c r="R102" s="160" t="s">
        <v>1097</v>
      </c>
      <c r="S102" s="155" t="s">
        <v>1060</v>
      </c>
    </row>
    <row r="103" spans="1:19">
      <c r="A103" s="160">
        <v>3</v>
      </c>
      <c r="B103" s="160" t="s">
        <v>179</v>
      </c>
      <c r="C103" s="160" t="s">
        <v>1098</v>
      </c>
      <c r="D103" s="160" t="s">
        <v>1099</v>
      </c>
      <c r="E103" s="160" t="s">
        <v>1100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1084</v>
      </c>
      <c r="Q103" s="160" t="s">
        <v>1077</v>
      </c>
      <c r="R103" s="160" t="s">
        <v>889</v>
      </c>
      <c r="S103" s="2" t="s">
        <v>1060</v>
      </c>
    </row>
    <row r="104" spans="1:19">
      <c r="A104" s="160">
        <v>3</v>
      </c>
      <c r="B104" s="160" t="s">
        <v>179</v>
      </c>
      <c r="C104" s="160" t="s">
        <v>1098</v>
      </c>
      <c r="D104" s="160" t="s">
        <v>1101</v>
      </c>
      <c r="E104" s="160" t="s">
        <v>1101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1102</v>
      </c>
      <c r="Q104" s="160" t="s">
        <v>1077</v>
      </c>
      <c r="R104" s="160" t="s">
        <v>1103</v>
      </c>
      <c r="S104" s="2" t="s">
        <v>1060</v>
      </c>
    </row>
    <row r="105" spans="1:19">
      <c r="A105" s="160">
        <v>3</v>
      </c>
      <c r="B105" s="160" t="s">
        <v>179</v>
      </c>
      <c r="C105" s="160" t="s">
        <v>1104</v>
      </c>
      <c r="D105" s="160" t="s">
        <v>1105</v>
      </c>
      <c r="E105" s="160" t="s">
        <v>1105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1088</v>
      </c>
      <c r="Q105" s="160" t="s">
        <v>1077</v>
      </c>
      <c r="R105" s="160" t="s">
        <v>1106</v>
      </c>
      <c r="S105" s="2" t="s">
        <v>1060</v>
      </c>
    </row>
    <row r="106" spans="1:19">
      <c r="A106" s="160">
        <v>3</v>
      </c>
      <c r="B106" s="160" t="s">
        <v>179</v>
      </c>
      <c r="C106" s="160" t="s">
        <v>1104</v>
      </c>
      <c r="D106" s="160" t="s">
        <v>1107</v>
      </c>
      <c r="E106" s="160" t="s">
        <v>1107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1108</v>
      </c>
      <c r="Q106" s="160" t="s">
        <v>1077</v>
      </c>
      <c r="R106" s="160" t="s">
        <v>1109</v>
      </c>
      <c r="S106" s="155" t="s">
        <v>1060</v>
      </c>
    </row>
    <row r="107" spans="1:19">
      <c r="A107" s="160">
        <v>4</v>
      </c>
      <c r="B107" s="160" t="s">
        <v>330</v>
      </c>
      <c r="C107" s="160" t="s">
        <v>1110</v>
      </c>
      <c r="D107" s="160" t="s">
        <v>1111</v>
      </c>
      <c r="E107" s="160" t="s">
        <v>1111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1112</v>
      </c>
      <c r="Q107" s="160" t="s">
        <v>1113</v>
      </c>
      <c r="R107" s="160" t="s">
        <v>1114</v>
      </c>
      <c r="S107" s="2" t="s">
        <v>1060</v>
      </c>
    </row>
    <row r="108" spans="1:19">
      <c r="A108" s="160">
        <v>4</v>
      </c>
      <c r="B108" s="160" t="s">
        <v>330</v>
      </c>
      <c r="C108" s="160" t="s">
        <v>1110</v>
      </c>
      <c r="D108" s="160" t="s">
        <v>1115</v>
      </c>
      <c r="E108" s="160" t="s">
        <v>1115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1116</v>
      </c>
      <c r="Q108" s="160" t="s">
        <v>1117</v>
      </c>
      <c r="R108" s="160" t="s">
        <v>1118</v>
      </c>
      <c r="S108" s="2" t="s">
        <v>1060</v>
      </c>
    </row>
    <row r="109" spans="1:19">
      <c r="A109" s="160">
        <v>4</v>
      </c>
      <c r="B109" s="160" t="s">
        <v>330</v>
      </c>
      <c r="C109" s="160" t="s">
        <v>1110</v>
      </c>
      <c r="D109" s="160" t="s">
        <v>1119</v>
      </c>
      <c r="E109" s="160" t="s">
        <v>1119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1120</v>
      </c>
      <c r="Q109" s="160" t="s">
        <v>1121</v>
      </c>
      <c r="R109" s="160" t="s">
        <v>696</v>
      </c>
      <c r="S109" s="2" t="s">
        <v>1060</v>
      </c>
    </row>
    <row r="110" spans="1:19">
      <c r="A110" s="160">
        <v>4</v>
      </c>
      <c r="B110" s="160" t="s">
        <v>330</v>
      </c>
      <c r="C110" s="160" t="s">
        <v>1110</v>
      </c>
      <c r="D110" s="160" t="s">
        <v>1122</v>
      </c>
      <c r="E110" s="160" t="s">
        <v>1122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1123</v>
      </c>
      <c r="Q110" s="160" t="s">
        <v>1124</v>
      </c>
      <c r="R110" s="160" t="s">
        <v>1125</v>
      </c>
      <c r="S110" s="2" t="s">
        <v>1060</v>
      </c>
    </row>
    <row r="111" spans="1:19">
      <c r="A111" s="160">
        <v>4</v>
      </c>
      <c r="B111" s="160" t="s">
        <v>330</v>
      </c>
      <c r="C111" s="160" t="s">
        <v>1110</v>
      </c>
      <c r="D111" s="160" t="s">
        <v>1126</v>
      </c>
      <c r="E111" s="160" t="s">
        <v>1126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1127</v>
      </c>
      <c r="Q111" s="160" t="s">
        <v>1128</v>
      </c>
      <c r="R111" s="160" t="s">
        <v>1129</v>
      </c>
      <c r="S111" s="155" t="s">
        <v>1060</v>
      </c>
    </row>
    <row r="112" spans="1:19">
      <c r="A112" s="160">
        <v>4</v>
      </c>
      <c r="B112" s="160" t="s">
        <v>330</v>
      </c>
      <c r="C112" s="160" t="s">
        <v>1110</v>
      </c>
      <c r="D112" s="160" t="s">
        <v>1130</v>
      </c>
      <c r="E112" s="160" t="s">
        <v>1130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1131</v>
      </c>
      <c r="Q112" s="160" t="s">
        <v>1132</v>
      </c>
      <c r="R112" s="160" t="s">
        <v>696</v>
      </c>
      <c r="S112" s="155" t="s">
        <v>1060</v>
      </c>
    </row>
    <row r="113" spans="1:19">
      <c r="A113" s="160">
        <v>4</v>
      </c>
      <c r="B113" s="160" t="s">
        <v>330</v>
      </c>
      <c r="C113" s="160" t="s">
        <v>1110</v>
      </c>
      <c r="D113" s="160" t="s">
        <v>1133</v>
      </c>
      <c r="E113" s="160" t="s">
        <v>1133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1134</v>
      </c>
      <c r="Q113" s="160" t="s">
        <v>1135</v>
      </c>
      <c r="R113" s="160" t="s">
        <v>647</v>
      </c>
      <c r="S113" s="155" t="s">
        <v>1060</v>
      </c>
    </row>
    <row r="114" spans="1:19">
      <c r="A114" s="160">
        <v>4</v>
      </c>
      <c r="B114" s="160" t="s">
        <v>330</v>
      </c>
      <c r="C114" s="160" t="s">
        <v>1110</v>
      </c>
      <c r="D114" s="160" t="s">
        <v>1136</v>
      </c>
      <c r="E114" s="160" t="s">
        <v>1136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1137</v>
      </c>
      <c r="Q114" s="160" t="s">
        <v>1138</v>
      </c>
      <c r="R114" s="160" t="s">
        <v>696</v>
      </c>
      <c r="S114" s="2" t="s">
        <v>1060</v>
      </c>
    </row>
    <row r="115" spans="1:19">
      <c r="A115" s="160">
        <v>4</v>
      </c>
      <c r="B115" s="160" t="s">
        <v>330</v>
      </c>
      <c r="C115" s="160" t="s">
        <v>1110</v>
      </c>
      <c r="D115" s="160" t="s">
        <v>1139</v>
      </c>
      <c r="E115" s="160" t="s">
        <v>1139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1140</v>
      </c>
      <c r="Q115" s="160" t="s">
        <v>1141</v>
      </c>
      <c r="R115" s="160" t="s">
        <v>1043</v>
      </c>
      <c r="S115" s="155" t="s">
        <v>1060</v>
      </c>
    </row>
    <row r="116" spans="1:19">
      <c r="A116" s="160">
        <v>4</v>
      </c>
      <c r="B116" s="160" t="s">
        <v>330</v>
      </c>
      <c r="C116" s="160" t="s">
        <v>1110</v>
      </c>
      <c r="D116" s="160" t="s">
        <v>1142</v>
      </c>
      <c r="E116" s="160" t="s">
        <v>1142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1143</v>
      </c>
      <c r="Q116" s="160" t="s">
        <v>532</v>
      </c>
      <c r="R116" s="160" t="s">
        <v>688</v>
      </c>
      <c r="S116" s="2" t="s">
        <v>1060</v>
      </c>
    </row>
    <row r="117" spans="1:19">
      <c r="A117" s="160">
        <v>4</v>
      </c>
      <c r="B117" s="160" t="s">
        <v>330</v>
      </c>
      <c r="C117" s="160" t="s">
        <v>1110</v>
      </c>
      <c r="D117" s="160" t="s">
        <v>1144</v>
      </c>
      <c r="E117" s="160" t="s">
        <v>1144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1145</v>
      </c>
      <c r="Q117" s="160" t="s">
        <v>1146</v>
      </c>
      <c r="R117" s="160" t="s">
        <v>696</v>
      </c>
      <c r="S117" s="2" t="s">
        <v>1060</v>
      </c>
    </row>
    <row r="118" spans="1:19">
      <c r="A118" s="160">
        <v>4</v>
      </c>
      <c r="B118" s="160" t="s">
        <v>330</v>
      </c>
      <c r="C118" s="160" t="s">
        <v>1110</v>
      </c>
      <c r="D118" s="160" t="s">
        <v>1147</v>
      </c>
      <c r="E118" s="160" t="s">
        <v>1147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1148</v>
      </c>
      <c r="Q118" s="160" t="s">
        <v>549</v>
      </c>
      <c r="R118" s="160" t="s">
        <v>663</v>
      </c>
      <c r="S118" s="2" t="s">
        <v>1060</v>
      </c>
    </row>
    <row r="119" spans="1:19">
      <c r="A119" s="160">
        <v>4</v>
      </c>
      <c r="B119" s="160" t="s">
        <v>330</v>
      </c>
      <c r="C119" s="160" t="s">
        <v>1110</v>
      </c>
      <c r="D119" s="160" t="s">
        <v>1149</v>
      </c>
      <c r="E119" s="160" t="s">
        <v>1149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1150</v>
      </c>
      <c r="Q119" s="160" t="s">
        <v>1151</v>
      </c>
      <c r="R119" s="160" t="s">
        <v>703</v>
      </c>
      <c r="S119" s="2" t="s">
        <v>1060</v>
      </c>
    </row>
    <row r="120" spans="1:19">
      <c r="A120" s="160">
        <v>4</v>
      </c>
      <c r="B120" s="160" t="s">
        <v>330</v>
      </c>
      <c r="C120" s="160" t="s">
        <v>1110</v>
      </c>
      <c r="D120" s="160" t="s">
        <v>1152</v>
      </c>
      <c r="E120" s="160" t="s">
        <v>1152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1153</v>
      </c>
      <c r="Q120" s="160" t="s">
        <v>1154</v>
      </c>
      <c r="R120" s="160" t="s">
        <v>703</v>
      </c>
      <c r="S120" s="2" t="s">
        <v>1060</v>
      </c>
    </row>
    <row r="121" spans="1:19">
      <c r="A121" s="160">
        <v>4</v>
      </c>
      <c r="B121" s="160" t="s">
        <v>330</v>
      </c>
      <c r="C121" s="160" t="s">
        <v>1110</v>
      </c>
      <c r="D121" s="160" t="s">
        <v>1155</v>
      </c>
      <c r="E121" s="160" t="s">
        <v>1155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1156</v>
      </c>
      <c r="Q121" s="160" t="s">
        <v>564</v>
      </c>
      <c r="R121" s="160" t="s">
        <v>1157</v>
      </c>
      <c r="S121" s="2" t="s">
        <v>1060</v>
      </c>
    </row>
    <row r="122" spans="1:19">
      <c r="A122" s="160">
        <v>4</v>
      </c>
      <c r="B122" s="160" t="s">
        <v>330</v>
      </c>
      <c r="C122" s="160" t="s">
        <v>1110</v>
      </c>
      <c r="D122" s="160" t="s">
        <v>1158</v>
      </c>
      <c r="E122" s="160" t="s">
        <v>1158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1159</v>
      </c>
      <c r="Q122" s="160" t="s">
        <v>1160</v>
      </c>
      <c r="R122" s="160" t="s">
        <v>663</v>
      </c>
      <c r="S122" s="2" t="s">
        <v>1060</v>
      </c>
    </row>
    <row r="123" spans="1:19">
      <c r="A123" s="160">
        <v>4</v>
      </c>
      <c r="B123" s="160" t="s">
        <v>330</v>
      </c>
      <c r="C123" s="160" t="s">
        <v>1110</v>
      </c>
      <c r="D123" s="160" t="s">
        <v>1161</v>
      </c>
      <c r="E123" s="160" t="s">
        <v>1161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1162</v>
      </c>
      <c r="Q123" s="160" t="s">
        <v>1163</v>
      </c>
      <c r="R123" s="160" t="s">
        <v>1164</v>
      </c>
      <c r="S123" s="2" t="s">
        <v>1060</v>
      </c>
    </row>
    <row r="124" spans="1:19">
      <c r="A124" s="160">
        <v>4</v>
      </c>
      <c r="B124" s="160" t="s">
        <v>330</v>
      </c>
      <c r="C124" s="160" t="s">
        <v>1110</v>
      </c>
      <c r="D124" s="160" t="s">
        <v>1165</v>
      </c>
      <c r="E124" s="160" t="s">
        <v>1165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1166</v>
      </c>
      <c r="Q124" s="160" t="s">
        <v>561</v>
      </c>
      <c r="R124" s="160" t="s">
        <v>1167</v>
      </c>
      <c r="S124" s="2" t="s">
        <v>1060</v>
      </c>
    </row>
    <row r="125" spans="1:19">
      <c r="A125" s="160">
        <v>4</v>
      </c>
      <c r="B125" s="160" t="s">
        <v>330</v>
      </c>
      <c r="C125" s="160" t="s">
        <v>1110</v>
      </c>
      <c r="D125" s="160" t="s">
        <v>1168</v>
      </c>
      <c r="E125" s="160" t="s">
        <v>1168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1169</v>
      </c>
      <c r="Q125" s="160" t="s">
        <v>1170</v>
      </c>
      <c r="R125" s="160" t="s">
        <v>1171</v>
      </c>
      <c r="S125" s="2" t="s">
        <v>1060</v>
      </c>
    </row>
    <row r="126" spans="1:19">
      <c r="A126" s="160">
        <v>5</v>
      </c>
      <c r="B126" s="160" t="s">
        <v>196</v>
      </c>
      <c r="C126" s="160" t="s">
        <v>1172</v>
      </c>
      <c r="D126" s="160" t="s">
        <v>1173</v>
      </c>
      <c r="E126" s="160" t="s">
        <v>1174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1175</v>
      </c>
      <c r="Q126" s="160" t="s">
        <v>1176</v>
      </c>
      <c r="R126" s="160" t="s">
        <v>862</v>
      </c>
      <c r="S126" s="2" t="s">
        <v>1060</v>
      </c>
    </row>
    <row r="127" spans="1:19">
      <c r="A127" s="160">
        <v>5</v>
      </c>
      <c r="B127" s="160" t="s">
        <v>196</v>
      </c>
      <c r="C127" s="160" t="s">
        <v>1172</v>
      </c>
      <c r="D127" s="160" t="s">
        <v>1177</v>
      </c>
      <c r="E127" s="160" t="s">
        <v>1178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1179</v>
      </c>
      <c r="Q127" s="160" t="s">
        <v>516</v>
      </c>
      <c r="R127" s="160" t="s">
        <v>663</v>
      </c>
      <c r="S127" s="2" t="s">
        <v>1060</v>
      </c>
    </row>
    <row r="128" spans="1:19">
      <c r="A128" s="160">
        <v>5</v>
      </c>
      <c r="B128" s="160" t="s">
        <v>196</v>
      </c>
      <c r="C128" s="160" t="s">
        <v>1172</v>
      </c>
      <c r="D128" s="160" t="s">
        <v>1180</v>
      </c>
      <c r="E128" s="160" t="s">
        <v>1181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1182</v>
      </c>
      <c r="Q128" s="160" t="s">
        <v>1183</v>
      </c>
      <c r="R128" s="160" t="s">
        <v>696</v>
      </c>
      <c r="S128" s="2" t="s">
        <v>1060</v>
      </c>
    </row>
    <row r="129" spans="1:19">
      <c r="A129" s="160">
        <v>5</v>
      </c>
      <c r="B129" s="160" t="s">
        <v>196</v>
      </c>
      <c r="C129" s="160" t="s">
        <v>1172</v>
      </c>
      <c r="D129" s="160" t="s">
        <v>1184</v>
      </c>
      <c r="E129" s="160" t="s">
        <v>1185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1186</v>
      </c>
      <c r="Q129" s="160" t="s">
        <v>1187</v>
      </c>
      <c r="R129" s="160" t="s">
        <v>703</v>
      </c>
      <c r="S129" s="2" t="s">
        <v>1060</v>
      </c>
    </row>
    <row r="130" spans="1:19">
      <c r="A130" s="160">
        <v>5</v>
      </c>
      <c r="B130" s="160" t="s">
        <v>196</v>
      </c>
      <c r="C130" s="160" t="s">
        <v>1110</v>
      </c>
      <c r="D130" s="160" t="s">
        <v>1188</v>
      </c>
      <c r="E130" s="160" t="s">
        <v>1188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1189</v>
      </c>
      <c r="Q130" s="160" t="s">
        <v>1190</v>
      </c>
      <c r="R130" s="160" t="s">
        <v>703</v>
      </c>
      <c r="S130" s="2" t="s">
        <v>1060</v>
      </c>
    </row>
    <row r="131" spans="1:19">
      <c r="A131" s="160">
        <v>5</v>
      </c>
      <c r="B131" s="160" t="s">
        <v>196</v>
      </c>
      <c r="C131" s="160" t="s">
        <v>1110</v>
      </c>
      <c r="D131" s="160" t="s">
        <v>1191</v>
      </c>
      <c r="E131" s="160" t="s">
        <v>1191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1192</v>
      </c>
      <c r="Q131" s="160" t="s">
        <v>1193</v>
      </c>
      <c r="R131" s="160" t="s">
        <v>1194</v>
      </c>
      <c r="S131" s="2" t="s">
        <v>1060</v>
      </c>
    </row>
    <row r="132" spans="1:19">
      <c r="A132" s="160">
        <v>6</v>
      </c>
      <c r="B132" s="160" t="s">
        <v>1195</v>
      </c>
      <c r="C132" s="160" t="s">
        <v>1196</v>
      </c>
      <c r="D132" s="160" t="s">
        <v>1197</v>
      </c>
      <c r="E132" s="160" t="s">
        <v>1197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1198</v>
      </c>
      <c r="Q132" s="160" t="s">
        <v>537</v>
      </c>
      <c r="R132" s="160" t="s">
        <v>688</v>
      </c>
      <c r="S132" s="2" t="s">
        <v>1060</v>
      </c>
    </row>
    <row r="133" spans="1:19">
      <c r="A133" s="160">
        <v>6</v>
      </c>
      <c r="B133" s="160" t="s">
        <v>1195</v>
      </c>
      <c r="C133" s="160" t="s">
        <v>1196</v>
      </c>
      <c r="D133" s="160" t="s">
        <v>1199</v>
      </c>
      <c r="E133" s="160" t="s">
        <v>1199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1200</v>
      </c>
      <c r="Q133" s="160" t="s">
        <v>1201</v>
      </c>
      <c r="R133" s="160" t="s">
        <v>1202</v>
      </c>
      <c r="S133" s="2" t="s">
        <v>1060</v>
      </c>
    </row>
    <row r="134" spans="1:19">
      <c r="A134" s="160">
        <v>6</v>
      </c>
      <c r="B134" s="160" t="s">
        <v>1195</v>
      </c>
      <c r="C134" s="160" t="s">
        <v>1196</v>
      </c>
      <c r="D134" s="160" t="s">
        <v>1203</v>
      </c>
      <c r="E134" s="160" t="s">
        <v>1203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1204</v>
      </c>
      <c r="Q134" s="160" t="s">
        <v>1205</v>
      </c>
      <c r="R134" s="160" t="s">
        <v>703</v>
      </c>
      <c r="S134" s="2" t="s">
        <v>1060</v>
      </c>
    </row>
    <row r="135" spans="1:19">
      <c r="A135" s="160">
        <v>7</v>
      </c>
      <c r="B135" s="160" t="s">
        <v>341</v>
      </c>
      <c r="C135" s="160" t="s">
        <v>1206</v>
      </c>
      <c r="D135" s="160" t="s">
        <v>1207</v>
      </c>
      <c r="E135" s="160" t="s">
        <v>1207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1208</v>
      </c>
      <c r="Q135" s="160" t="s">
        <v>1209</v>
      </c>
      <c r="R135" s="160" t="s">
        <v>696</v>
      </c>
      <c r="S135" s="2" t="s">
        <v>1060</v>
      </c>
    </row>
    <row r="136" spans="1:19">
      <c r="A136" s="160">
        <v>3</v>
      </c>
      <c r="B136" s="160" t="s">
        <v>179</v>
      </c>
      <c r="C136" s="160" t="s">
        <v>1098</v>
      </c>
      <c r="D136" s="160" t="s">
        <v>1210</v>
      </c>
      <c r="E136" s="160" t="s">
        <v>1210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1211</v>
      </c>
      <c r="Q136" s="160" t="s">
        <v>1212</v>
      </c>
      <c r="R136" s="160" t="s">
        <v>696</v>
      </c>
      <c r="S136" s="2" t="s">
        <v>1060</v>
      </c>
    </row>
    <row r="137" spans="1:19">
      <c r="N137" s="160" t="str">
        <f t="shared" si="4"/>
        <v>034355001</v>
      </c>
      <c r="O137" s="166">
        <v>34355001000170</v>
      </c>
      <c r="P137" s="160" t="s">
        <v>1213</v>
      </c>
      <c r="Q137" s="160" t="s">
        <v>1214</v>
      </c>
      <c r="R137" s="160" t="s">
        <v>688</v>
      </c>
      <c r="S137" s="2" t="s">
        <v>1060</v>
      </c>
    </row>
    <row r="138" spans="1:19">
      <c r="N138" s="160" t="str">
        <f t="shared" si="4"/>
        <v>032878844</v>
      </c>
      <c r="O138" s="166">
        <v>32878844000126</v>
      </c>
      <c r="P138" s="160" t="s">
        <v>1215</v>
      </c>
      <c r="Q138" s="160" t="s">
        <v>468</v>
      </c>
      <c r="R138" s="160" t="s">
        <v>688</v>
      </c>
      <c r="S138" s="2" t="s">
        <v>1060</v>
      </c>
    </row>
    <row r="139" spans="1:19">
      <c r="N139" s="160" t="str">
        <f t="shared" si="4"/>
        <v>024586169</v>
      </c>
      <c r="O139" s="166">
        <v>24586169000133</v>
      </c>
      <c r="P139" s="160" t="s">
        <v>1216</v>
      </c>
      <c r="Q139" s="160" t="s">
        <v>1217</v>
      </c>
      <c r="R139" s="160" t="s">
        <v>663</v>
      </c>
      <c r="S139" s="2" t="s">
        <v>1060</v>
      </c>
    </row>
    <row r="140" spans="1:19">
      <c r="N140" s="160" t="str">
        <f t="shared" si="4"/>
        <v>058145329</v>
      </c>
      <c r="O140" s="166">
        <v>58145329000120</v>
      </c>
      <c r="P140" s="160" t="s">
        <v>1218</v>
      </c>
      <c r="Q140" s="160" t="s">
        <v>1219</v>
      </c>
      <c r="R140" s="160" t="s">
        <v>663</v>
      </c>
      <c r="S140" s="2" t="s">
        <v>1060</v>
      </c>
    </row>
    <row r="141" spans="1:19">
      <c r="N141" s="160" t="str">
        <f t="shared" si="4"/>
        <v>079973913</v>
      </c>
      <c r="O141" s="166">
        <v>79973913000144</v>
      </c>
      <c r="P141" s="160" t="s">
        <v>1220</v>
      </c>
      <c r="Q141" s="160" t="s">
        <v>1221</v>
      </c>
      <c r="R141" s="160" t="s">
        <v>889</v>
      </c>
      <c r="S141" s="2" t="s">
        <v>1060</v>
      </c>
    </row>
    <row r="142" spans="1:19">
      <c r="N142" s="160" t="str">
        <f t="shared" si="4"/>
        <v>006914002</v>
      </c>
      <c r="O142" s="166">
        <v>6914002000172</v>
      </c>
      <c r="P142" s="160" t="s">
        <v>1222</v>
      </c>
      <c r="Q142" s="160" t="s">
        <v>475</v>
      </c>
      <c r="R142" s="160" t="s">
        <v>672</v>
      </c>
      <c r="S142" s="2" t="s">
        <v>1060</v>
      </c>
    </row>
    <row r="143" spans="1:19">
      <c r="N143" s="160" t="str">
        <f t="shared" si="4"/>
        <v>003350624</v>
      </c>
      <c r="O143" s="166">
        <v>3350624000127</v>
      </c>
      <c r="P143" s="160" t="s">
        <v>1223</v>
      </c>
      <c r="Q143" s="160" t="s">
        <v>1224</v>
      </c>
      <c r="R143" s="160" t="s">
        <v>1225</v>
      </c>
      <c r="S143" s="2" t="s">
        <v>1060</v>
      </c>
    </row>
    <row r="144" spans="1:19">
      <c r="N144" s="160" t="str">
        <f t="shared" si="4"/>
        <v>027482459</v>
      </c>
      <c r="O144" s="166">
        <v>27482459000125</v>
      </c>
      <c r="P144" s="160" t="s">
        <v>1226</v>
      </c>
      <c r="Q144" s="160" t="s">
        <v>1227</v>
      </c>
      <c r="R144" s="160" t="s">
        <v>1228</v>
      </c>
      <c r="S144" s="2" t="s">
        <v>1060</v>
      </c>
    </row>
    <row r="145" spans="14:19">
      <c r="N145" s="160" t="str">
        <f t="shared" si="4"/>
        <v>044753925</v>
      </c>
      <c r="O145" s="166">
        <v>44753925000189</v>
      </c>
      <c r="P145" s="160" t="s">
        <v>1229</v>
      </c>
      <c r="Q145" s="160" t="s">
        <v>1230</v>
      </c>
      <c r="R145" s="160" t="s">
        <v>639</v>
      </c>
      <c r="S145" s="2" t="s">
        <v>1060</v>
      </c>
    </row>
    <row r="146" spans="14:19">
      <c r="N146" s="160" t="str">
        <f t="shared" si="4"/>
        <v>045988691</v>
      </c>
      <c r="O146" s="166">
        <v>45988691000111</v>
      </c>
      <c r="P146" s="160" t="s">
        <v>1231</v>
      </c>
      <c r="Q146" s="160" t="s">
        <v>1232</v>
      </c>
      <c r="R146" s="160" t="s">
        <v>703</v>
      </c>
      <c r="S146" s="2" t="s">
        <v>1060</v>
      </c>
    </row>
    <row r="147" spans="14:19">
      <c r="N147" s="160" t="str">
        <f t="shared" si="4"/>
        <v>032603119</v>
      </c>
      <c r="O147" s="166">
        <v>32603119000145</v>
      </c>
      <c r="P147" s="160" t="s">
        <v>1233</v>
      </c>
      <c r="Q147" s="160" t="s">
        <v>558</v>
      </c>
      <c r="R147" s="160" t="s">
        <v>1234</v>
      </c>
      <c r="S147" s="2" t="s">
        <v>1060</v>
      </c>
    </row>
    <row r="148" spans="14:19">
      <c r="N148" s="160" t="str">
        <f t="shared" si="4"/>
        <v>019442669</v>
      </c>
      <c r="O148" s="166">
        <v>19442669000161</v>
      </c>
      <c r="P148" s="160" t="s">
        <v>1235</v>
      </c>
      <c r="Q148" s="160" t="s">
        <v>1236</v>
      </c>
      <c r="R148" s="160" t="s">
        <v>696</v>
      </c>
      <c r="S148" s="2" t="s">
        <v>1060</v>
      </c>
    </row>
    <row r="149" spans="14:19">
      <c r="N149" s="160" t="str">
        <f t="shared" si="4"/>
        <v>084895598</v>
      </c>
      <c r="O149" s="166">
        <v>84895598000114</v>
      </c>
      <c r="P149" s="160" t="s">
        <v>1237</v>
      </c>
      <c r="Q149" s="160" t="s">
        <v>1238</v>
      </c>
      <c r="R149" s="160" t="s">
        <v>663</v>
      </c>
      <c r="S149" s="2" t="s">
        <v>1060</v>
      </c>
    </row>
    <row r="150" spans="14:19">
      <c r="N150" s="160" t="str">
        <f t="shared" si="4"/>
        <v>000495608</v>
      </c>
      <c r="O150" s="166">
        <v>495608000134</v>
      </c>
      <c r="P150" s="160" t="s">
        <v>1239</v>
      </c>
      <c r="Q150" s="160" t="s">
        <v>555</v>
      </c>
      <c r="R150" s="160" t="s">
        <v>696</v>
      </c>
      <c r="S150" s="2" t="s">
        <v>1060</v>
      </c>
    </row>
    <row r="151" spans="14:19">
      <c r="N151" s="160" t="str">
        <f t="shared" si="4"/>
        <v>020920599</v>
      </c>
      <c r="O151" s="166">
        <v>20920599000199</v>
      </c>
      <c r="P151" s="160" t="s">
        <v>1240</v>
      </c>
      <c r="Q151" s="160" t="s">
        <v>1241</v>
      </c>
      <c r="R151" s="160" t="s">
        <v>696</v>
      </c>
      <c r="S151" s="2" t="s">
        <v>1242</v>
      </c>
    </row>
    <row r="152" spans="14:19">
      <c r="N152" s="160" t="str">
        <f t="shared" si="4"/>
        <v>055246903</v>
      </c>
      <c r="O152" s="166">
        <v>55246903000149</v>
      </c>
      <c r="P152" s="160" t="s">
        <v>1243</v>
      </c>
      <c r="Q152" s="160" t="s">
        <v>1244</v>
      </c>
      <c r="R152" s="160" t="s">
        <v>1245</v>
      </c>
      <c r="S152" s="2" t="s">
        <v>1246</v>
      </c>
    </row>
    <row r="153" spans="14:19">
      <c r="N153" s="160" t="str">
        <f t="shared" si="4"/>
        <v>080645922</v>
      </c>
      <c r="O153" s="166">
        <v>80645922000276</v>
      </c>
      <c r="P153" s="160" t="s">
        <v>1247</v>
      </c>
      <c r="Q153" s="160" t="s">
        <v>1248</v>
      </c>
      <c r="R153" s="160" t="s">
        <v>862</v>
      </c>
      <c r="S153" s="2" t="s">
        <v>1246</v>
      </c>
    </row>
    <row r="154" spans="14:19">
      <c r="N154" s="160" t="str">
        <f t="shared" si="4"/>
        <v>056953013</v>
      </c>
      <c r="O154" s="166">
        <v>56953013000130</v>
      </c>
      <c r="P154" s="160" t="s">
        <v>1249</v>
      </c>
      <c r="Q154" s="160" t="s">
        <v>513</v>
      </c>
      <c r="R154" s="160" t="s">
        <v>889</v>
      </c>
      <c r="S154" s="2" t="s">
        <v>1246</v>
      </c>
    </row>
    <row r="155" spans="14:19">
      <c r="N155" s="160" t="str">
        <f t="shared" si="4"/>
        <v>056953013</v>
      </c>
      <c r="O155" s="166">
        <v>56953013000130</v>
      </c>
      <c r="P155" s="160" t="s">
        <v>1249</v>
      </c>
      <c r="Q155" s="160" t="s">
        <v>513</v>
      </c>
      <c r="R155" s="160" t="s">
        <v>889</v>
      </c>
      <c r="S155" s="2" t="s">
        <v>1246</v>
      </c>
    </row>
    <row r="156" spans="14:19">
      <c r="N156" s="160" t="str">
        <f t="shared" si="4"/>
        <v>027525938</v>
      </c>
      <c r="O156" s="166">
        <v>27525938000181</v>
      </c>
      <c r="P156" s="160" t="s">
        <v>1250</v>
      </c>
      <c r="Q156" s="160" t="s">
        <v>442</v>
      </c>
      <c r="R156" s="160" t="s">
        <v>696</v>
      </c>
      <c r="S156" s="2" t="s">
        <v>1246</v>
      </c>
    </row>
    <row r="157" spans="14:19">
      <c r="N157" s="160" t="str">
        <f t="shared" si="4"/>
        <v>059119304</v>
      </c>
      <c r="O157" s="166">
        <v>59119304000115</v>
      </c>
      <c r="P157" s="160" t="s">
        <v>1251</v>
      </c>
      <c r="Q157" s="160" t="s">
        <v>1252</v>
      </c>
      <c r="R157" s="160" t="s">
        <v>688</v>
      </c>
      <c r="S157" s="2" t="s">
        <v>1246</v>
      </c>
    </row>
    <row r="158" spans="14:19">
      <c r="N158" s="160" t="str">
        <f t="shared" si="4"/>
        <v>058219628</v>
      </c>
      <c r="O158" s="166" t="s">
        <v>1253</v>
      </c>
      <c r="P158" s="160" t="s">
        <v>1254</v>
      </c>
      <c r="Q158" s="160" t="s">
        <v>1252</v>
      </c>
      <c r="R158" s="160" t="s">
        <v>1255</v>
      </c>
      <c r="S158" s="2" t="s">
        <v>1246</v>
      </c>
    </row>
    <row r="159" spans="14:19">
      <c r="N159" s="160" t="str">
        <f t="shared" si="4"/>
        <v>028198228</v>
      </c>
      <c r="O159" s="166">
        <v>28198228000157</v>
      </c>
      <c r="P159" s="160" t="s">
        <v>1256</v>
      </c>
      <c r="Q159" s="160" t="s">
        <v>1257</v>
      </c>
      <c r="R159" s="160" t="s">
        <v>1258</v>
      </c>
      <c r="S159" s="155" t="s">
        <v>1246</v>
      </c>
    </row>
    <row r="160" spans="14:19">
      <c r="N160" s="160" t="str">
        <f t="shared" si="4"/>
        <v>008880208</v>
      </c>
      <c r="O160" s="166">
        <v>8880208000154</v>
      </c>
      <c r="P160" s="160" t="s">
        <v>1259</v>
      </c>
      <c r="Q160" s="160" t="s">
        <v>1257</v>
      </c>
      <c r="R160" s="160" t="s">
        <v>1258</v>
      </c>
      <c r="S160" s="155" t="s">
        <v>1246</v>
      </c>
    </row>
    <row r="161" spans="14:19">
      <c r="N161" s="160" t="str">
        <f t="shared" si="4"/>
        <v>053102168</v>
      </c>
      <c r="O161" s="166">
        <v>53102168000174</v>
      </c>
      <c r="P161" s="160" t="s">
        <v>1260</v>
      </c>
      <c r="Q161" s="160" t="s">
        <v>1261</v>
      </c>
      <c r="R161" s="160" t="s">
        <v>1262</v>
      </c>
      <c r="S161" s="2" t="s">
        <v>1246</v>
      </c>
    </row>
    <row r="162" spans="14:19">
      <c r="N162" s="160" t="str">
        <f t="shared" si="4"/>
        <v>035912495</v>
      </c>
      <c r="O162" s="166">
        <v>35912495000452</v>
      </c>
      <c r="P162" s="160" t="s">
        <v>1263</v>
      </c>
      <c r="Q162" s="160" t="s">
        <v>1264</v>
      </c>
      <c r="R162" s="160" t="s">
        <v>1258</v>
      </c>
      <c r="S162" s="2" t="s">
        <v>1246</v>
      </c>
    </row>
    <row r="163" spans="14:19">
      <c r="N163" s="160" t="str">
        <f t="shared" si="4"/>
        <v>044914992</v>
      </c>
      <c r="O163" s="166">
        <v>44914992002424</v>
      </c>
      <c r="P163" s="160" t="s">
        <v>1265</v>
      </c>
      <c r="Q163" s="160" t="s">
        <v>1264</v>
      </c>
      <c r="R163" s="160" t="s">
        <v>1266</v>
      </c>
      <c r="S163" s="2" t="s">
        <v>1246</v>
      </c>
    </row>
    <row r="164" spans="14:19">
      <c r="N164" s="160" t="str">
        <f t="shared" si="4"/>
        <v>044914992</v>
      </c>
      <c r="O164" s="166">
        <v>44914992003315</v>
      </c>
      <c r="P164" s="160" t="s">
        <v>1267</v>
      </c>
      <c r="Q164" s="160" t="s">
        <v>1264</v>
      </c>
      <c r="R164" s="160" t="s">
        <v>1268</v>
      </c>
      <c r="S164" s="2" t="s">
        <v>1246</v>
      </c>
    </row>
    <row r="165" spans="14:19">
      <c r="N165" s="160" t="str">
        <f t="shared" si="4"/>
        <v>044914992</v>
      </c>
      <c r="O165" s="166">
        <v>44914992003820</v>
      </c>
      <c r="P165" s="160" t="s">
        <v>1267</v>
      </c>
      <c r="Q165" s="160" t="s">
        <v>1264</v>
      </c>
      <c r="R165" s="160" t="s">
        <v>1258</v>
      </c>
      <c r="S165" s="2" t="s">
        <v>1246</v>
      </c>
    </row>
    <row r="166" spans="14:19">
      <c r="N166" s="160" t="str">
        <f t="shared" si="4"/>
        <v>044914992</v>
      </c>
      <c r="O166" s="166">
        <v>44914992001886</v>
      </c>
      <c r="P166" s="160" t="s">
        <v>1269</v>
      </c>
      <c r="Q166" s="160" t="s">
        <v>1264</v>
      </c>
      <c r="R166" s="160" t="s">
        <v>1270</v>
      </c>
      <c r="S166" s="2" t="s">
        <v>1246</v>
      </c>
    </row>
    <row r="167" spans="14:19">
      <c r="N167" s="160" t="str">
        <f t="shared" si="4"/>
        <v>044914992</v>
      </c>
      <c r="O167" s="166">
        <v>44914992003668</v>
      </c>
      <c r="P167" s="160" t="s">
        <v>1267</v>
      </c>
      <c r="Q167" s="160" t="s">
        <v>1264</v>
      </c>
      <c r="R167" s="160" t="s">
        <v>1271</v>
      </c>
      <c r="S167" s="2" t="s">
        <v>1246</v>
      </c>
    </row>
    <row r="168" spans="14:19">
      <c r="N168" s="160" t="str">
        <f t="shared" si="4"/>
        <v>044914992</v>
      </c>
      <c r="O168" s="166">
        <v>44914992001703</v>
      </c>
      <c r="P168" s="160" t="s">
        <v>1272</v>
      </c>
      <c r="Q168" s="160" t="s">
        <v>1264</v>
      </c>
      <c r="R168" s="160" t="s">
        <v>756</v>
      </c>
      <c r="S168" s="2" t="s">
        <v>1246</v>
      </c>
    </row>
    <row r="169" spans="14:19">
      <c r="N169" s="160" t="str">
        <f t="shared" si="4"/>
        <v>044914992</v>
      </c>
      <c r="O169" s="166">
        <v>44914992002181</v>
      </c>
      <c r="P169" s="160" t="s">
        <v>1273</v>
      </c>
      <c r="Q169" s="160" t="s">
        <v>1264</v>
      </c>
      <c r="R169" s="160" t="s">
        <v>1274</v>
      </c>
      <c r="S169" s="2" t="s">
        <v>1246</v>
      </c>
    </row>
    <row r="170" spans="14:19">
      <c r="N170" s="160" t="str">
        <f t="shared" si="4"/>
        <v>044914992</v>
      </c>
      <c r="O170" s="166">
        <v>44914992002777</v>
      </c>
      <c r="P170" s="160" t="s">
        <v>1272</v>
      </c>
      <c r="Q170" s="160" t="s">
        <v>1264</v>
      </c>
      <c r="R170" s="160" t="s">
        <v>1275</v>
      </c>
      <c r="S170" s="2" t="s">
        <v>1246</v>
      </c>
    </row>
    <row r="171" spans="14:19">
      <c r="N171" s="160" t="str">
        <f t="shared" si="4"/>
        <v>044914992</v>
      </c>
      <c r="O171" s="166">
        <v>44914992000138</v>
      </c>
      <c r="P171" s="160" t="s">
        <v>1276</v>
      </c>
      <c r="Q171" s="160" t="s">
        <v>1264</v>
      </c>
      <c r="R171" s="160" t="s">
        <v>1277</v>
      </c>
      <c r="S171" s="2" t="s">
        <v>1246</v>
      </c>
    </row>
    <row r="172" spans="14:19">
      <c r="N172" s="160" t="str">
        <f t="shared" si="4"/>
        <v>044914992</v>
      </c>
      <c r="O172" s="166">
        <v>44914992001371</v>
      </c>
      <c r="P172" s="160" t="s">
        <v>1278</v>
      </c>
      <c r="Q172" s="160" t="s">
        <v>1264</v>
      </c>
      <c r="R172" s="160" t="s">
        <v>1171</v>
      </c>
      <c r="S172" s="2" t="s">
        <v>1246</v>
      </c>
    </row>
    <row r="173" spans="14:19">
      <c r="N173" s="160" t="str">
        <f t="shared" si="4"/>
        <v>044914992</v>
      </c>
      <c r="O173" s="166">
        <v>44914992001290</v>
      </c>
      <c r="P173" s="160" t="s">
        <v>1279</v>
      </c>
      <c r="Q173" s="160" t="s">
        <v>1264</v>
      </c>
      <c r="R173" s="160" t="s">
        <v>1280</v>
      </c>
      <c r="S173" s="2" t="s">
        <v>1246</v>
      </c>
    </row>
    <row r="174" spans="14:19">
      <c r="N174" s="160" t="str">
        <f t="shared" si="4"/>
        <v>002343801</v>
      </c>
      <c r="O174" s="166">
        <v>2343801000185</v>
      </c>
      <c r="P174" s="160" t="s">
        <v>1281</v>
      </c>
      <c r="Q174" s="160" t="s">
        <v>1282</v>
      </c>
      <c r="R174" s="160" t="s">
        <v>1283</v>
      </c>
      <c r="S174" s="2" t="s">
        <v>1246</v>
      </c>
    </row>
    <row r="175" spans="14:19">
      <c r="N175" s="160" t="str">
        <f t="shared" si="4"/>
        <v>002343801</v>
      </c>
      <c r="O175" s="166">
        <v>2343801000690</v>
      </c>
      <c r="P175" s="160" t="s">
        <v>1281</v>
      </c>
      <c r="Q175" s="160" t="s">
        <v>1282</v>
      </c>
      <c r="R175" s="160" t="s">
        <v>696</v>
      </c>
      <c r="S175" s="2" t="s">
        <v>1246</v>
      </c>
    </row>
    <row r="176" spans="14:19">
      <c r="N176" s="160" t="str">
        <f t="shared" si="4"/>
        <v>078706751</v>
      </c>
      <c r="O176" s="166">
        <v>78706751000700</v>
      </c>
      <c r="P176" s="160" t="s">
        <v>1284</v>
      </c>
      <c r="Q176" s="160" t="s">
        <v>1285</v>
      </c>
      <c r="R176" s="160" t="s">
        <v>1286</v>
      </c>
      <c r="S176" s="2" t="s">
        <v>1246</v>
      </c>
    </row>
    <row r="177" spans="14:19">
      <c r="N177" s="160" t="str">
        <f t="shared" si="4"/>
        <v>078706751</v>
      </c>
      <c r="O177" s="166">
        <v>78706751001430</v>
      </c>
      <c r="P177" s="160" t="s">
        <v>1284</v>
      </c>
      <c r="Q177" s="160" t="s">
        <v>1285</v>
      </c>
      <c r="R177" s="160" t="s">
        <v>696</v>
      </c>
      <c r="S177" s="2" t="s">
        <v>1246</v>
      </c>
    </row>
    <row r="178" spans="14:19">
      <c r="N178" s="160" t="str">
        <f t="shared" si="4"/>
        <v>078706751</v>
      </c>
      <c r="O178" s="166">
        <v>78706751000891</v>
      </c>
      <c r="P178" s="160" t="s">
        <v>1287</v>
      </c>
      <c r="Q178" s="160" t="s">
        <v>1285</v>
      </c>
      <c r="R178" s="160" t="s">
        <v>1245</v>
      </c>
      <c r="S178" s="2" t="s">
        <v>1246</v>
      </c>
    </row>
    <row r="179" spans="14:19">
      <c r="N179" s="160" t="str">
        <f t="shared" si="4"/>
        <v>078706751</v>
      </c>
      <c r="O179" s="166">
        <v>78706751000115</v>
      </c>
      <c r="P179" s="160" t="s">
        <v>1288</v>
      </c>
      <c r="Q179" s="160" t="s">
        <v>1285</v>
      </c>
      <c r="R179" s="160" t="s">
        <v>1171</v>
      </c>
      <c r="S179" s="2" t="s">
        <v>1246</v>
      </c>
    </row>
    <row r="180" spans="14:19">
      <c r="N180" s="160" t="str">
        <f t="shared" si="4"/>
        <v>078706751</v>
      </c>
      <c r="O180" s="166">
        <v>78706751000549</v>
      </c>
      <c r="P180" s="160" t="s">
        <v>1288</v>
      </c>
      <c r="Q180" s="160" t="s">
        <v>1285</v>
      </c>
      <c r="R180" s="160" t="s">
        <v>1171</v>
      </c>
      <c r="S180" s="2" t="s">
        <v>1246</v>
      </c>
    </row>
    <row r="181" spans="14:19">
      <c r="N181" s="160" t="str">
        <f t="shared" si="4"/>
        <v>012154080</v>
      </c>
      <c r="O181" s="166">
        <v>12154080000119</v>
      </c>
      <c r="P181" s="160" t="s">
        <v>1289</v>
      </c>
      <c r="Q181" s="160" t="s">
        <v>571</v>
      </c>
      <c r="R181" s="160" t="s">
        <v>696</v>
      </c>
      <c r="S181" s="2" t="s">
        <v>1246</v>
      </c>
    </row>
    <row r="182" spans="14:19">
      <c r="N182" s="160" t="str">
        <f t="shared" si="4"/>
        <v>000428307</v>
      </c>
      <c r="O182" s="166">
        <v>428307001917</v>
      </c>
      <c r="P182" s="160" t="s">
        <v>1290</v>
      </c>
      <c r="Q182" s="160" t="s">
        <v>1291</v>
      </c>
      <c r="R182" s="160" t="s">
        <v>1292</v>
      </c>
      <c r="S182" s="2" t="s">
        <v>1246</v>
      </c>
    </row>
    <row r="183" spans="14:19">
      <c r="N183" s="160" t="str">
        <f t="shared" si="4"/>
        <v>000428307</v>
      </c>
      <c r="O183" s="166">
        <v>428307001240</v>
      </c>
      <c r="P183" s="160" t="s">
        <v>1293</v>
      </c>
      <c r="Q183" s="160" t="s">
        <v>1291</v>
      </c>
      <c r="R183" s="160" t="s">
        <v>1294</v>
      </c>
      <c r="S183" s="2" t="s">
        <v>1246</v>
      </c>
    </row>
    <row r="184" spans="14:19">
      <c r="N184" s="160" t="str">
        <f t="shared" si="4"/>
        <v>000428307</v>
      </c>
      <c r="O184" s="166">
        <v>428307001321</v>
      </c>
      <c r="P184" s="160" t="s">
        <v>1293</v>
      </c>
      <c r="Q184" s="160" t="s">
        <v>1291</v>
      </c>
      <c r="R184" s="160" t="s">
        <v>1294</v>
      </c>
      <c r="S184" s="2" t="s">
        <v>1246</v>
      </c>
    </row>
    <row r="185" spans="14:19">
      <c r="N185" s="160" t="str">
        <f t="shared" si="4"/>
        <v>000428307</v>
      </c>
      <c r="O185" s="166">
        <v>428307000279</v>
      </c>
      <c r="P185" s="160" t="s">
        <v>1293</v>
      </c>
      <c r="Q185" s="160" t="s">
        <v>1291</v>
      </c>
      <c r="R185" s="160" t="s">
        <v>1295</v>
      </c>
      <c r="S185" s="2" t="s">
        <v>1246</v>
      </c>
    </row>
    <row r="186" spans="14:19">
      <c r="N186" s="160" t="str">
        <f t="shared" si="4"/>
        <v>000428307</v>
      </c>
      <c r="O186" s="166">
        <v>428307000864</v>
      </c>
      <c r="P186" s="160" t="s">
        <v>1290</v>
      </c>
      <c r="Q186" s="160" t="s">
        <v>1291</v>
      </c>
      <c r="R186" s="160" t="s">
        <v>1266</v>
      </c>
      <c r="S186" s="155" t="s">
        <v>1246</v>
      </c>
    </row>
    <row r="187" spans="14:19">
      <c r="N187" s="160" t="str">
        <f t="shared" si="4"/>
        <v>000428307</v>
      </c>
      <c r="O187" s="166">
        <v>428307000600</v>
      </c>
      <c r="P187" s="160" t="s">
        <v>1290</v>
      </c>
      <c r="Q187" s="160" t="s">
        <v>1291</v>
      </c>
      <c r="R187" s="160" t="s">
        <v>1296</v>
      </c>
      <c r="S187" s="155" t="s">
        <v>1246</v>
      </c>
    </row>
    <row r="188" spans="14:19">
      <c r="N188" s="160" t="str">
        <f t="shared" si="4"/>
        <v>000428307</v>
      </c>
      <c r="O188" s="166">
        <v>428307000198</v>
      </c>
      <c r="P188" s="160" t="s">
        <v>1290</v>
      </c>
      <c r="Q188" s="160" t="s">
        <v>1291</v>
      </c>
      <c r="R188" s="160" t="s">
        <v>1297</v>
      </c>
      <c r="S188" s="155" t="s">
        <v>1246</v>
      </c>
    </row>
    <row r="189" spans="14:19">
      <c r="N189" s="160" t="str">
        <f t="shared" si="4"/>
        <v>000428307</v>
      </c>
      <c r="O189" s="166">
        <v>428307001674</v>
      </c>
      <c r="P189" s="160" t="s">
        <v>1290</v>
      </c>
      <c r="Q189" s="160" t="s">
        <v>1291</v>
      </c>
      <c r="R189" s="160" t="s">
        <v>1298</v>
      </c>
      <c r="S189" s="155" t="s">
        <v>1246</v>
      </c>
    </row>
    <row r="190" spans="14:19">
      <c r="N190" s="160" t="str">
        <f t="shared" si="4"/>
        <v>000428307</v>
      </c>
      <c r="O190" s="166">
        <v>428307000350</v>
      </c>
      <c r="P190" s="160" t="s">
        <v>1290</v>
      </c>
      <c r="Q190" s="160" t="s">
        <v>1291</v>
      </c>
      <c r="R190" s="160" t="s">
        <v>1275</v>
      </c>
      <c r="S190" s="155" t="s">
        <v>1246</v>
      </c>
    </row>
    <row r="191" spans="14:19">
      <c r="N191" s="160" t="str">
        <f t="shared" si="4"/>
        <v>000428307</v>
      </c>
      <c r="O191" s="166">
        <v>428307000430</v>
      </c>
      <c r="P191" s="160" t="s">
        <v>1290</v>
      </c>
      <c r="Q191" s="160" t="s">
        <v>1291</v>
      </c>
      <c r="R191" s="160" t="s">
        <v>1299</v>
      </c>
      <c r="S191" s="155" t="s">
        <v>1246</v>
      </c>
    </row>
    <row r="192" spans="14:19">
      <c r="N192" s="160" t="str">
        <f t="shared" si="4"/>
        <v>000428307</v>
      </c>
      <c r="O192" s="166">
        <v>428307000783</v>
      </c>
      <c r="P192" s="160" t="s">
        <v>1290</v>
      </c>
      <c r="Q192" s="160" t="s">
        <v>1291</v>
      </c>
      <c r="R192" s="160" t="s">
        <v>1300</v>
      </c>
      <c r="S192" s="2" t="s">
        <v>1246</v>
      </c>
    </row>
    <row r="193" spans="14:19">
      <c r="N193" s="160" t="str">
        <f t="shared" si="4"/>
        <v>000428307</v>
      </c>
      <c r="O193" s="166">
        <v>428307000511</v>
      </c>
      <c r="P193" s="160" t="s">
        <v>1290</v>
      </c>
      <c r="Q193" s="160" t="s">
        <v>1291</v>
      </c>
      <c r="R193" s="160" t="s">
        <v>1301</v>
      </c>
      <c r="S193" s="2" t="s">
        <v>1246</v>
      </c>
    </row>
    <row r="194" spans="14:19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1302</v>
      </c>
      <c r="Q194" s="160" t="s">
        <v>1291</v>
      </c>
      <c r="R194" s="160" t="s">
        <v>1303</v>
      </c>
      <c r="S194" s="2" t="s">
        <v>1246</v>
      </c>
    </row>
    <row r="195" spans="14:19">
      <c r="N195" s="160" t="str">
        <f t="shared" si="6"/>
        <v>000428307</v>
      </c>
      <c r="O195" s="166">
        <v>428307001089</v>
      </c>
      <c r="P195" s="160" t="s">
        <v>1304</v>
      </c>
      <c r="Q195" s="160" t="s">
        <v>1291</v>
      </c>
      <c r="R195" s="160" t="s">
        <v>1305</v>
      </c>
      <c r="S195" s="2" t="s">
        <v>1246</v>
      </c>
    </row>
    <row r="196" spans="14:19">
      <c r="N196" s="160" t="str">
        <f t="shared" si="6"/>
        <v>000428307</v>
      </c>
      <c r="O196" s="166">
        <v>428307002301</v>
      </c>
      <c r="P196" s="160" t="s">
        <v>1302</v>
      </c>
      <c r="Q196" s="160" t="s">
        <v>1291</v>
      </c>
      <c r="R196" s="160" t="s">
        <v>889</v>
      </c>
      <c r="S196" s="2" t="s">
        <v>1246</v>
      </c>
    </row>
    <row r="197" spans="14:19">
      <c r="N197" s="160" t="str">
        <f t="shared" si="6"/>
        <v>000428307</v>
      </c>
      <c r="O197" s="166">
        <v>428307002484</v>
      </c>
      <c r="P197" s="160" t="s">
        <v>1293</v>
      </c>
      <c r="Q197" s="160" t="s">
        <v>1291</v>
      </c>
      <c r="R197" s="160" t="s">
        <v>1297</v>
      </c>
      <c r="S197" s="2" t="s">
        <v>1246</v>
      </c>
    </row>
    <row r="198" spans="14:19">
      <c r="N198" s="160" t="str">
        <f t="shared" si="6"/>
        <v>080227796</v>
      </c>
      <c r="O198" s="166">
        <v>80227796006785</v>
      </c>
      <c r="P198" s="160" t="s">
        <v>1306</v>
      </c>
      <c r="Q198" s="160" t="s">
        <v>471</v>
      </c>
      <c r="R198" s="160" t="s">
        <v>1307</v>
      </c>
      <c r="S198" s="2" t="s">
        <v>1246</v>
      </c>
    </row>
    <row r="199" spans="14:19">
      <c r="N199" s="160" t="str">
        <f t="shared" si="6"/>
        <v>080227796</v>
      </c>
      <c r="O199" s="166">
        <v>80227796005894</v>
      </c>
      <c r="P199" s="160" t="s">
        <v>1308</v>
      </c>
      <c r="Q199" s="160" t="s">
        <v>471</v>
      </c>
      <c r="R199" s="160" t="s">
        <v>889</v>
      </c>
      <c r="S199" s="2" t="s">
        <v>1246</v>
      </c>
    </row>
    <row r="200" spans="14:19">
      <c r="N200" s="160" t="str">
        <f t="shared" si="6"/>
        <v>080227796</v>
      </c>
      <c r="O200" s="166">
        <v>80227796006270</v>
      </c>
      <c r="P200" s="160" t="s">
        <v>1309</v>
      </c>
      <c r="Q200" s="160" t="s">
        <v>471</v>
      </c>
      <c r="R200" s="160" t="s">
        <v>1310</v>
      </c>
      <c r="S200" s="2" t="s">
        <v>1246</v>
      </c>
    </row>
    <row r="201" spans="14:19">
      <c r="N201" s="160" t="str">
        <f t="shared" si="6"/>
        <v>080227796</v>
      </c>
      <c r="O201" s="166">
        <v>80227796000159</v>
      </c>
      <c r="P201" s="160" t="s">
        <v>1309</v>
      </c>
      <c r="Q201" s="160" t="s">
        <v>471</v>
      </c>
      <c r="R201" s="160" t="s">
        <v>696</v>
      </c>
      <c r="S201" s="2" t="s">
        <v>1246</v>
      </c>
    </row>
    <row r="202" spans="14:19">
      <c r="N202" s="160" t="str">
        <f t="shared" si="6"/>
        <v>080227796</v>
      </c>
      <c r="O202" s="166">
        <v>80227796005118</v>
      </c>
      <c r="P202" s="160" t="s">
        <v>1309</v>
      </c>
      <c r="Q202" s="160" t="s">
        <v>471</v>
      </c>
      <c r="R202" s="160" t="s">
        <v>1311</v>
      </c>
      <c r="S202" s="2" t="s">
        <v>1246</v>
      </c>
    </row>
    <row r="203" spans="14:19">
      <c r="N203" s="160" t="str">
        <f t="shared" si="6"/>
        <v>080227796</v>
      </c>
      <c r="O203" s="166">
        <v>80227796001473</v>
      </c>
      <c r="P203" s="160" t="s">
        <v>1309</v>
      </c>
      <c r="Q203" s="160" t="s">
        <v>471</v>
      </c>
      <c r="R203" s="160" t="s">
        <v>1171</v>
      </c>
      <c r="S203" s="2" t="s">
        <v>1246</v>
      </c>
    </row>
    <row r="204" spans="14:19">
      <c r="N204" s="160" t="str">
        <f t="shared" si="6"/>
        <v>0</v>
      </c>
      <c r="O204" s="166"/>
      <c r="P204" s="160"/>
      <c r="Q204" s="160"/>
      <c r="R204" s="160"/>
    </row>
    <row r="205" spans="14:19">
      <c r="N205" s="160" t="str">
        <f t="shared" si="6"/>
        <v>0</v>
      </c>
      <c r="O205" s="166"/>
      <c r="P205" s="160"/>
      <c r="Q205" s="160"/>
      <c r="R205" s="160"/>
    </row>
    <row r="206" spans="14:19">
      <c r="N206" s="160" t="str">
        <f t="shared" si="6"/>
        <v>0</v>
      </c>
      <c r="O206" s="166"/>
      <c r="P206" s="160"/>
      <c r="Q206" s="160"/>
      <c r="R206" s="160"/>
    </row>
    <row r="207" spans="14:19">
      <c r="N207" s="160" t="str">
        <f t="shared" si="6"/>
        <v>0</v>
      </c>
      <c r="O207" s="166"/>
      <c r="P207" s="160"/>
      <c r="Q207" s="160"/>
      <c r="R207" s="160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68" t="s">
        <v>1312</v>
      </c>
      <c r="B1" s="268"/>
      <c r="E1" s="103" t="s">
        <v>1313</v>
      </c>
      <c r="F1" s="104" t="s">
        <v>1314</v>
      </c>
      <c r="G1" s="104" t="s">
        <v>1315</v>
      </c>
      <c r="H1" s="104" t="s">
        <v>415</v>
      </c>
      <c r="I1" s="104" t="s">
        <v>1316</v>
      </c>
      <c r="J1" s="104" t="s">
        <v>1317</v>
      </c>
    </row>
    <row r="2" spans="1:10" ht="15.6">
      <c r="A2" s="89" t="s">
        <v>1318</v>
      </c>
      <c r="B2" s="89" t="s">
        <v>1319</v>
      </c>
      <c r="D2" s="1">
        <v>1</v>
      </c>
      <c r="E2" s="105" t="s">
        <v>1320</v>
      </c>
      <c r="F2" s="106" t="s">
        <v>1321</v>
      </c>
      <c r="G2" s="106" t="s">
        <v>1322</v>
      </c>
      <c r="H2" s="107">
        <v>45975</v>
      </c>
      <c r="I2" s="106" t="s">
        <v>1323</v>
      </c>
      <c r="J2" s="108" t="s">
        <v>311</v>
      </c>
    </row>
    <row r="3" spans="1:10" ht="15.6">
      <c r="A3" s="89" t="s">
        <v>1324</v>
      </c>
      <c r="B3" s="89" t="s">
        <v>316</v>
      </c>
      <c r="D3" s="1">
        <v>2</v>
      </c>
      <c r="E3" s="109" t="s">
        <v>1320</v>
      </c>
      <c r="F3" s="109" t="s">
        <v>1325</v>
      </c>
      <c r="G3" s="109" t="s">
        <v>1326</v>
      </c>
      <c r="H3" s="76">
        <v>45978</v>
      </c>
      <c r="I3" s="77" t="s">
        <v>1327</v>
      </c>
      <c r="J3" s="110" t="s">
        <v>321</v>
      </c>
    </row>
    <row r="4" spans="1:10" ht="15.6">
      <c r="A4" s="89" t="s">
        <v>1328</v>
      </c>
      <c r="B4" s="90">
        <v>1088000</v>
      </c>
      <c r="D4" s="1">
        <v>3</v>
      </c>
      <c r="E4" s="111" t="s">
        <v>1329</v>
      </c>
      <c r="F4" s="111" t="s">
        <v>1329</v>
      </c>
      <c r="G4" s="111" t="s">
        <v>1330</v>
      </c>
      <c r="H4" s="112" t="s">
        <v>1331</v>
      </c>
      <c r="I4" s="111" t="s">
        <v>1332</v>
      </c>
      <c r="J4" s="113" t="s">
        <v>401</v>
      </c>
    </row>
    <row r="5" spans="1:10" ht="15.6">
      <c r="A5" s="88"/>
      <c r="B5" s="88"/>
      <c r="D5" s="1">
        <v>4</v>
      </c>
      <c r="E5" s="77" t="s">
        <v>1329</v>
      </c>
      <c r="F5" s="77" t="s">
        <v>1329</v>
      </c>
      <c r="G5" s="77" t="s">
        <v>1333</v>
      </c>
      <c r="H5" s="76">
        <v>45980</v>
      </c>
      <c r="I5" s="77" t="s">
        <v>1334</v>
      </c>
      <c r="J5" s="114" t="s">
        <v>387</v>
      </c>
    </row>
    <row r="6" spans="1:10" ht="15.6">
      <c r="A6" s="89" t="s">
        <v>1318</v>
      </c>
      <c r="B6" s="89" t="s">
        <v>1335</v>
      </c>
      <c r="D6" s="1">
        <v>5</v>
      </c>
      <c r="E6" s="111" t="s">
        <v>1329</v>
      </c>
      <c r="F6" s="111" t="s">
        <v>1336</v>
      </c>
      <c r="G6" s="111" t="s">
        <v>1337</v>
      </c>
      <c r="H6" s="112" t="s">
        <v>1338</v>
      </c>
      <c r="I6" s="111" t="s">
        <v>1339</v>
      </c>
      <c r="J6" s="113" t="s">
        <v>1340</v>
      </c>
    </row>
    <row r="7" spans="1:10" ht="15.6">
      <c r="A7" s="89" t="s">
        <v>1324</v>
      </c>
      <c r="B7" s="89" t="s">
        <v>315</v>
      </c>
      <c r="D7" s="1">
        <v>6</v>
      </c>
      <c r="E7" s="115" t="s">
        <v>1341</v>
      </c>
      <c r="F7" s="115" t="s">
        <v>1342</v>
      </c>
      <c r="G7" s="115" t="s">
        <v>1343</v>
      </c>
      <c r="H7" s="116">
        <v>45986</v>
      </c>
      <c r="I7" s="115" t="s">
        <v>1344</v>
      </c>
      <c r="J7" s="113" t="s">
        <v>392</v>
      </c>
    </row>
    <row r="8" spans="1:10" ht="15.6">
      <c r="A8" s="89" t="s">
        <v>1328</v>
      </c>
      <c r="B8" s="90">
        <v>163000</v>
      </c>
      <c r="D8" s="1">
        <v>7</v>
      </c>
      <c r="E8" s="115" t="s">
        <v>1325</v>
      </c>
      <c r="F8" s="115" t="s">
        <v>1345</v>
      </c>
      <c r="G8" s="115" t="s">
        <v>1346</v>
      </c>
      <c r="H8" s="116">
        <v>45987</v>
      </c>
      <c r="I8" s="115" t="s">
        <v>1344</v>
      </c>
      <c r="J8" s="113" t="s">
        <v>397</v>
      </c>
    </row>
    <row r="9" spans="1:10" ht="15.6">
      <c r="A9" s="88"/>
      <c r="B9" s="88"/>
      <c r="D9" s="1">
        <v>8</v>
      </c>
      <c r="E9" s="79" t="s">
        <v>1347</v>
      </c>
      <c r="F9" s="79" t="s">
        <v>1348</v>
      </c>
      <c r="G9" s="79" t="s">
        <v>1343</v>
      </c>
      <c r="H9" s="78">
        <v>45989</v>
      </c>
      <c r="I9" s="79" t="s">
        <v>1349</v>
      </c>
      <c r="J9" s="79"/>
    </row>
    <row r="10" spans="1:10" ht="15.6">
      <c r="A10" s="89" t="s">
        <v>1318</v>
      </c>
      <c r="B10" s="89" t="s">
        <v>1350</v>
      </c>
      <c r="D10" s="1"/>
      <c r="E10" s="81" t="s">
        <v>1351</v>
      </c>
      <c r="F10" s="81" t="s">
        <v>1352</v>
      </c>
      <c r="G10" s="81" t="s">
        <v>1352</v>
      </c>
      <c r="H10" s="80" t="s">
        <v>1352</v>
      </c>
      <c r="I10" s="80" t="s">
        <v>1352</v>
      </c>
      <c r="J10" s="81"/>
    </row>
    <row r="11" spans="1:10" ht="15.6">
      <c r="A11" s="89" t="s">
        <v>1324</v>
      </c>
      <c r="B11" s="89" t="s">
        <v>308</v>
      </c>
      <c r="D11" s="1"/>
      <c r="E11" s="79" t="s">
        <v>1347</v>
      </c>
      <c r="F11" s="79" t="s">
        <v>1352</v>
      </c>
      <c r="G11" s="79" t="s">
        <v>1352</v>
      </c>
      <c r="H11" s="78" t="s">
        <v>1352</v>
      </c>
      <c r="I11" s="78" t="s">
        <v>1352</v>
      </c>
      <c r="J11" s="79"/>
    </row>
    <row r="12" spans="1:10" ht="15.6">
      <c r="A12" s="89" t="s">
        <v>1328</v>
      </c>
      <c r="B12" s="90">
        <v>262000</v>
      </c>
      <c r="D12" s="1"/>
      <c r="E12" s="117" t="s">
        <v>1351</v>
      </c>
      <c r="F12" s="81" t="s">
        <v>1352</v>
      </c>
      <c r="G12" s="81" t="s">
        <v>1352</v>
      </c>
      <c r="H12" s="80" t="s">
        <v>1352</v>
      </c>
      <c r="I12" s="81" t="s">
        <v>1349</v>
      </c>
      <c r="J12" s="81"/>
    </row>
    <row r="13" spans="1:10" ht="15.6">
      <c r="A13" s="88"/>
      <c r="B13" s="88"/>
      <c r="E13" s="79" t="s">
        <v>1329</v>
      </c>
      <c r="F13" s="79" t="s">
        <v>1352</v>
      </c>
      <c r="G13" s="79" t="s">
        <v>1352</v>
      </c>
      <c r="H13" s="78" t="s">
        <v>1352</v>
      </c>
      <c r="I13" s="79" t="s">
        <v>1349</v>
      </c>
      <c r="J13" s="79"/>
    </row>
    <row r="14" spans="1:10" ht="15.6">
      <c r="A14" s="89" t="s">
        <v>1318</v>
      </c>
      <c r="B14" s="89" t="s">
        <v>1350</v>
      </c>
    </row>
    <row r="15" spans="1:10" ht="15.6">
      <c r="A15" s="89" t="s">
        <v>1324</v>
      </c>
      <c r="B15" s="89" t="s">
        <v>313</v>
      </c>
    </row>
    <row r="16" spans="1:10" ht="15.6">
      <c r="A16" s="89" t="s">
        <v>1328</v>
      </c>
      <c r="B16" s="90">
        <v>191000</v>
      </c>
    </row>
    <row r="17" spans="1:8" ht="15.6">
      <c r="A17" s="88"/>
      <c r="B17" s="88"/>
    </row>
    <row r="18" spans="1:8" ht="15.6">
      <c r="A18" s="89" t="s">
        <v>1353</v>
      </c>
      <c r="B18" s="89" t="s">
        <v>205</v>
      </c>
      <c r="E18" s="118" t="s">
        <v>135</v>
      </c>
      <c r="F18" s="118" t="s">
        <v>419</v>
      </c>
      <c r="G18" s="119" t="s">
        <v>145</v>
      </c>
      <c r="H18" s="119" t="s">
        <v>1354</v>
      </c>
    </row>
    <row r="19" spans="1:8" ht="15.6">
      <c r="A19" s="267" t="s">
        <v>1355</v>
      </c>
      <c r="B19" s="89" t="s">
        <v>1356</v>
      </c>
      <c r="E19" s="120" t="s">
        <v>308</v>
      </c>
      <c r="F19" s="73">
        <v>262000</v>
      </c>
      <c r="G19" s="75" t="s">
        <v>1357</v>
      </c>
      <c r="H19" s="75" t="s">
        <v>205</v>
      </c>
    </row>
    <row r="20" spans="1:8" ht="15.6">
      <c r="A20" s="267"/>
      <c r="B20" s="87" t="s">
        <v>311</v>
      </c>
      <c r="E20" s="120" t="s">
        <v>313</v>
      </c>
      <c r="F20" s="73">
        <v>191000</v>
      </c>
      <c r="G20" s="75" t="s">
        <v>1358</v>
      </c>
      <c r="H20" s="75" t="s">
        <v>205</v>
      </c>
    </row>
    <row r="21" spans="1:8" ht="15.6">
      <c r="A21" s="89" t="s">
        <v>1359</v>
      </c>
      <c r="B21" s="86" t="s">
        <v>1360</v>
      </c>
      <c r="E21" s="84" t="s">
        <v>318</v>
      </c>
      <c r="F21" s="121">
        <v>971000</v>
      </c>
      <c r="G21" s="122" t="s">
        <v>1361</v>
      </c>
      <c r="H21" s="122" t="s">
        <v>205</v>
      </c>
    </row>
    <row r="22" spans="1:8" ht="15.6">
      <c r="A22" s="89" t="s">
        <v>1362</v>
      </c>
      <c r="B22" s="91">
        <v>45975</v>
      </c>
      <c r="E22" s="84" t="s">
        <v>329</v>
      </c>
      <c r="F22" s="121">
        <v>510000</v>
      </c>
      <c r="G22" s="122" t="s">
        <v>1361</v>
      </c>
      <c r="H22" s="122" t="s">
        <v>205</v>
      </c>
    </row>
    <row r="23" spans="1:8" ht="15.6">
      <c r="A23" s="89" t="s">
        <v>1363</v>
      </c>
      <c r="B23" s="91">
        <v>45978</v>
      </c>
      <c r="E23" s="75" t="s">
        <v>1364</v>
      </c>
      <c r="F23" s="123">
        <v>160000</v>
      </c>
      <c r="G23" s="75" t="s">
        <v>1358</v>
      </c>
      <c r="H23" s="75" t="s">
        <v>1365</v>
      </c>
    </row>
    <row r="24" spans="1:8" ht="15.6">
      <c r="A24" s="92"/>
      <c r="B24" s="92"/>
      <c r="E24" s="124" t="s">
        <v>385</v>
      </c>
      <c r="F24" s="125">
        <v>218000</v>
      </c>
      <c r="G24" s="124" t="s">
        <v>1357</v>
      </c>
      <c r="H24" s="75" t="s">
        <v>1365</v>
      </c>
    </row>
    <row r="25" spans="1:8" ht="15.6">
      <c r="A25" s="268" t="s">
        <v>1366</v>
      </c>
      <c r="B25" s="268"/>
      <c r="E25" s="126" t="s">
        <v>395</v>
      </c>
      <c r="F25" s="83">
        <v>1090000</v>
      </c>
      <c r="G25" s="127" t="s">
        <v>1367</v>
      </c>
      <c r="H25" s="127" t="s">
        <v>426</v>
      </c>
    </row>
    <row r="26" spans="1:8" ht="15.6">
      <c r="A26" s="89" t="s">
        <v>1318</v>
      </c>
      <c r="B26" s="89" t="s">
        <v>1350</v>
      </c>
      <c r="E26" s="128" t="s">
        <v>394</v>
      </c>
      <c r="F26" s="82">
        <v>163000</v>
      </c>
      <c r="G26" s="129" t="s">
        <v>1367</v>
      </c>
      <c r="H26" s="129" t="s">
        <v>426</v>
      </c>
    </row>
    <row r="27" spans="1:8" ht="15.6">
      <c r="A27" s="89" t="s">
        <v>1324</v>
      </c>
      <c r="B27" s="89" t="s">
        <v>318</v>
      </c>
      <c r="E27" s="75" t="s">
        <v>384</v>
      </c>
      <c r="F27" s="123">
        <v>191000</v>
      </c>
      <c r="G27" s="75" t="s">
        <v>1358</v>
      </c>
      <c r="H27" s="75" t="s">
        <v>426</v>
      </c>
    </row>
    <row r="28" spans="1:8" ht="15.6">
      <c r="A28" s="89" t="s">
        <v>1328</v>
      </c>
      <c r="B28" s="90">
        <v>970381.91</v>
      </c>
      <c r="E28" s="84" t="s">
        <v>389</v>
      </c>
      <c r="F28" s="121">
        <v>971000</v>
      </c>
      <c r="G28" s="122" t="s">
        <v>1368</v>
      </c>
      <c r="H28" s="122" t="s">
        <v>426</v>
      </c>
    </row>
    <row r="29" spans="1:8" ht="15.6">
      <c r="A29" s="93"/>
      <c r="B29" s="93"/>
      <c r="E29" s="84" t="s">
        <v>363</v>
      </c>
      <c r="F29" s="121">
        <v>853000</v>
      </c>
      <c r="G29" s="122" t="s">
        <v>1368</v>
      </c>
      <c r="H29" s="122" t="s">
        <v>426</v>
      </c>
    </row>
    <row r="30" spans="1:8" ht="15.6">
      <c r="A30" s="89" t="s">
        <v>1318</v>
      </c>
      <c r="B30" s="89" t="s">
        <v>1350</v>
      </c>
      <c r="E30" s="130" t="s">
        <v>1369</v>
      </c>
      <c r="F30" s="74" t="s">
        <v>1370</v>
      </c>
      <c r="G30" s="75"/>
      <c r="H30" s="75" t="s">
        <v>449</v>
      </c>
    </row>
    <row r="31" spans="1:8" ht="15.6">
      <c r="A31" s="89" t="s">
        <v>1324</v>
      </c>
      <c r="B31" s="89" t="s">
        <v>329</v>
      </c>
      <c r="E31" s="131" t="s">
        <v>1371</v>
      </c>
      <c r="F31" s="85">
        <v>147000</v>
      </c>
      <c r="G31" s="129"/>
      <c r="H31" s="129" t="s">
        <v>449</v>
      </c>
    </row>
    <row r="32" spans="1:8" ht="15.6">
      <c r="A32" s="89" t="s">
        <v>1328</v>
      </c>
      <c r="B32" s="90" t="s">
        <v>1372</v>
      </c>
      <c r="E32" s="132" t="s">
        <v>316</v>
      </c>
      <c r="F32" s="123">
        <v>1088000</v>
      </c>
      <c r="G32" s="75"/>
      <c r="H32" s="75" t="s">
        <v>153</v>
      </c>
    </row>
    <row r="33" spans="1:8" ht="15.6">
      <c r="A33" s="93"/>
      <c r="B33" s="94"/>
      <c r="E33" s="132" t="s">
        <v>315</v>
      </c>
      <c r="F33" s="123">
        <v>163000</v>
      </c>
      <c r="G33" s="75"/>
      <c r="H33" s="75" t="s">
        <v>153</v>
      </c>
    </row>
    <row r="34" spans="1:8" ht="15.6">
      <c r="A34" s="89" t="s">
        <v>1353</v>
      </c>
      <c r="B34" s="89" t="s">
        <v>205</v>
      </c>
    </row>
    <row r="35" spans="1:8" ht="15.6">
      <c r="A35" s="267" t="s">
        <v>1355</v>
      </c>
      <c r="B35" s="89" t="s">
        <v>1373</v>
      </c>
    </row>
    <row r="36" spans="1:8">
      <c r="A36" s="267"/>
      <c r="B36" s="87" t="s">
        <v>321</v>
      </c>
    </row>
    <row r="37" spans="1:8" ht="15.6">
      <c r="A37" s="89" t="s">
        <v>1359</v>
      </c>
      <c r="B37" s="86" t="s">
        <v>1374</v>
      </c>
    </row>
    <row r="38" spans="1:8" ht="15.6">
      <c r="A38" s="89" t="s">
        <v>1362</v>
      </c>
      <c r="B38" s="91">
        <v>45978</v>
      </c>
    </row>
    <row r="39" spans="1:8" ht="15.6">
      <c r="A39" s="89" t="s">
        <v>1363</v>
      </c>
      <c r="B39" s="91">
        <v>45985</v>
      </c>
    </row>
    <row r="40" spans="1:8" ht="15.6">
      <c r="A40" s="92"/>
      <c r="B40" s="92"/>
    </row>
    <row r="41" spans="1:8" ht="15.6">
      <c r="A41" s="268" t="s">
        <v>1375</v>
      </c>
      <c r="B41" s="268"/>
    </row>
    <row r="42" spans="1:8" ht="15.6">
      <c r="A42" s="89" t="s">
        <v>1318</v>
      </c>
      <c r="B42" s="89" t="s">
        <v>1319</v>
      </c>
    </row>
    <row r="43" spans="1:8" ht="15.6">
      <c r="A43" s="89" t="s">
        <v>1324</v>
      </c>
      <c r="B43" s="89" t="s">
        <v>1376</v>
      </c>
    </row>
    <row r="44" spans="1:8" ht="15.6">
      <c r="A44" s="89" t="s">
        <v>1328</v>
      </c>
      <c r="B44" s="83">
        <v>1090000</v>
      </c>
    </row>
    <row r="45" spans="1:8" ht="15.6">
      <c r="A45" s="93"/>
      <c r="B45" s="88"/>
    </row>
    <row r="46" spans="1:8" ht="15.6">
      <c r="A46" s="95" t="s">
        <v>1318</v>
      </c>
      <c r="B46" s="89" t="s">
        <v>1335</v>
      </c>
    </row>
    <row r="47" spans="1:8" ht="15.6">
      <c r="A47" s="95" t="s">
        <v>1324</v>
      </c>
      <c r="B47" s="89" t="s">
        <v>394</v>
      </c>
    </row>
    <row r="48" spans="1:8" ht="15.6">
      <c r="A48" s="95" t="s">
        <v>1328</v>
      </c>
      <c r="B48" s="73">
        <v>163000</v>
      </c>
    </row>
    <row r="49" spans="1:2" ht="15.6">
      <c r="A49" s="93"/>
      <c r="B49" s="94"/>
    </row>
    <row r="50" spans="1:2" ht="15.6">
      <c r="A50" s="89" t="s">
        <v>1353</v>
      </c>
      <c r="B50" s="89" t="s">
        <v>193</v>
      </c>
    </row>
    <row r="51" spans="1:2" ht="15.6">
      <c r="A51" s="267" t="s">
        <v>1355</v>
      </c>
      <c r="B51" s="89" t="s">
        <v>1377</v>
      </c>
    </row>
    <row r="52" spans="1:2">
      <c r="A52" s="267"/>
      <c r="B52" s="87" t="s">
        <v>401</v>
      </c>
    </row>
    <row r="53" spans="1:2" ht="15.6">
      <c r="A53" s="89" t="s">
        <v>1359</v>
      </c>
      <c r="B53" s="86" t="s">
        <v>1378</v>
      </c>
    </row>
    <row r="54" spans="1:2" ht="15.6">
      <c r="A54" s="89" t="s">
        <v>1362</v>
      </c>
      <c r="B54" s="91">
        <v>45978</v>
      </c>
    </row>
    <row r="55" spans="1:2" ht="15.6">
      <c r="A55" s="89" t="s">
        <v>1363</v>
      </c>
      <c r="B55" s="91">
        <v>45981</v>
      </c>
    </row>
    <row r="56" spans="1:2" ht="15.6">
      <c r="A56" s="92"/>
      <c r="B56" s="92"/>
    </row>
    <row r="57" spans="1:2" ht="15.6">
      <c r="A57" s="268" t="s">
        <v>1379</v>
      </c>
      <c r="B57" s="268"/>
    </row>
    <row r="58" spans="1:2" ht="15.6">
      <c r="A58" s="89" t="s">
        <v>1318</v>
      </c>
      <c r="B58" s="89" t="s">
        <v>1350</v>
      </c>
    </row>
    <row r="59" spans="1:2" ht="15.6">
      <c r="A59" s="89" t="s">
        <v>1324</v>
      </c>
      <c r="B59" s="89" t="s">
        <v>389</v>
      </c>
    </row>
    <row r="60" spans="1:2" ht="15.6">
      <c r="A60" s="89" t="s">
        <v>1328</v>
      </c>
      <c r="B60" s="90">
        <v>971000</v>
      </c>
    </row>
    <row r="61" spans="1:2" ht="15.6">
      <c r="A61" s="93"/>
      <c r="B61" s="93"/>
    </row>
    <row r="62" spans="1:2" ht="15.6">
      <c r="A62" s="89" t="s">
        <v>1318</v>
      </c>
      <c r="B62" s="89" t="s">
        <v>1350</v>
      </c>
    </row>
    <row r="63" spans="1:2" ht="15.6">
      <c r="A63" s="89" t="s">
        <v>1324</v>
      </c>
      <c r="B63" s="89" t="s">
        <v>363</v>
      </c>
    </row>
    <row r="64" spans="1:2" ht="15.6">
      <c r="A64" s="89" t="s">
        <v>1328</v>
      </c>
      <c r="B64" s="90">
        <v>853000</v>
      </c>
    </row>
    <row r="65" spans="1:2" ht="15.6">
      <c r="A65" s="93"/>
      <c r="B65" s="94"/>
    </row>
    <row r="66" spans="1:2" ht="15.6">
      <c r="A66" s="89" t="s">
        <v>1353</v>
      </c>
      <c r="B66" s="89" t="s">
        <v>193</v>
      </c>
    </row>
    <row r="67" spans="1:2" ht="15.6">
      <c r="A67" s="267" t="s">
        <v>1355</v>
      </c>
      <c r="B67" s="89" t="s">
        <v>1380</v>
      </c>
    </row>
    <row r="68" spans="1:2">
      <c r="A68" s="267"/>
      <c r="B68" s="96" t="s">
        <v>387</v>
      </c>
    </row>
    <row r="69" spans="1:2" ht="15.6">
      <c r="A69" s="89" t="s">
        <v>1359</v>
      </c>
      <c r="B69" s="86" t="s">
        <v>1381</v>
      </c>
    </row>
    <row r="70" spans="1:2" ht="15.6">
      <c r="A70" s="89" t="s">
        <v>1362</v>
      </c>
      <c r="B70" s="91">
        <v>45980</v>
      </c>
    </row>
    <row r="71" spans="1:2" ht="15.6">
      <c r="A71" s="89" t="s">
        <v>1363</v>
      </c>
      <c r="B71" s="91">
        <v>45985</v>
      </c>
    </row>
    <row r="72" spans="1:2" ht="15.6">
      <c r="A72" s="92"/>
      <c r="B72" s="92"/>
    </row>
    <row r="73" spans="1:2" ht="15.6">
      <c r="A73" s="268" t="s">
        <v>1382</v>
      </c>
      <c r="B73" s="268"/>
    </row>
    <row r="74" spans="1:2" ht="15.6">
      <c r="A74" s="89" t="s">
        <v>1318</v>
      </c>
      <c r="B74" s="89" t="s">
        <v>1350</v>
      </c>
    </row>
    <row r="75" spans="1:2" ht="15.6">
      <c r="A75" s="89" t="s">
        <v>1324</v>
      </c>
      <c r="B75" s="89" t="s">
        <v>385</v>
      </c>
    </row>
    <row r="76" spans="1:2" ht="15.6">
      <c r="A76" s="89" t="s">
        <v>1328</v>
      </c>
      <c r="B76" s="90">
        <v>218000</v>
      </c>
    </row>
    <row r="77" spans="1:2" ht="15.6">
      <c r="A77" s="88"/>
      <c r="B77" s="88"/>
    </row>
    <row r="78" spans="1:2" ht="15.6">
      <c r="A78" s="89" t="s">
        <v>1318</v>
      </c>
      <c r="B78" s="89" t="s">
        <v>1350</v>
      </c>
    </row>
    <row r="79" spans="1:2" ht="15.6">
      <c r="A79" s="89" t="s">
        <v>1324</v>
      </c>
      <c r="B79" s="89" t="s">
        <v>384</v>
      </c>
    </row>
    <row r="80" spans="1:2" ht="15.6">
      <c r="A80" s="89" t="s">
        <v>1328</v>
      </c>
      <c r="B80" s="90">
        <v>191000</v>
      </c>
    </row>
    <row r="81" spans="1:2" ht="15.6">
      <c r="A81" s="93"/>
      <c r="B81" s="93"/>
    </row>
    <row r="82" spans="1:2" ht="15.6">
      <c r="A82" s="89" t="s">
        <v>1318</v>
      </c>
      <c r="B82" s="89" t="s">
        <v>1350</v>
      </c>
    </row>
    <row r="83" spans="1:2" ht="15.6">
      <c r="A83" s="89" t="s">
        <v>1324</v>
      </c>
      <c r="B83" s="89" t="s">
        <v>1364</v>
      </c>
    </row>
    <row r="84" spans="1:2" ht="15.6">
      <c r="A84" s="89" t="s">
        <v>1328</v>
      </c>
      <c r="B84" s="90">
        <v>160000</v>
      </c>
    </row>
    <row r="85" spans="1:2" ht="15.6">
      <c r="A85" s="93"/>
      <c r="B85" s="94"/>
    </row>
    <row r="86" spans="1:2" ht="15.6">
      <c r="A86" s="89" t="s">
        <v>1353</v>
      </c>
      <c r="B86" s="89" t="s">
        <v>193</v>
      </c>
    </row>
    <row r="87" spans="1:2" ht="15.6">
      <c r="A87" s="267" t="s">
        <v>1355</v>
      </c>
      <c r="B87" s="89" t="s">
        <v>1383</v>
      </c>
    </row>
    <row r="88" spans="1:2">
      <c r="A88" s="267"/>
      <c r="B88" s="96" t="s">
        <v>382</v>
      </c>
    </row>
    <row r="89" spans="1:2" ht="15.6">
      <c r="A89" s="89" t="s">
        <v>1359</v>
      </c>
      <c r="B89" s="86" t="s">
        <v>1384</v>
      </c>
    </row>
    <row r="90" spans="1:2" ht="15.6">
      <c r="A90" s="89" t="s">
        <v>1362</v>
      </c>
      <c r="B90" s="91">
        <v>45985</v>
      </c>
    </row>
    <row r="91" spans="1:2" ht="15.6">
      <c r="A91" s="89" t="s">
        <v>1363</v>
      </c>
      <c r="B91" s="91">
        <v>45987</v>
      </c>
    </row>
    <row r="92" spans="1:2" ht="15.6">
      <c r="A92" s="92"/>
      <c r="B92" s="92"/>
    </row>
    <row r="93" spans="1:2" ht="15.6">
      <c r="A93" s="268" t="s">
        <v>1385</v>
      </c>
      <c r="B93" s="268"/>
    </row>
    <row r="94" spans="1:2" ht="15.6">
      <c r="A94" s="89" t="s">
        <v>1318</v>
      </c>
      <c r="B94" s="89" t="s">
        <v>1319</v>
      </c>
    </row>
    <row r="95" spans="1:2" ht="15.6">
      <c r="A95" s="89" t="s">
        <v>1324</v>
      </c>
      <c r="B95" s="89" t="s">
        <v>395</v>
      </c>
    </row>
    <row r="96" spans="1:2" ht="15.6">
      <c r="A96" s="89" t="s">
        <v>1328</v>
      </c>
      <c r="B96" s="90">
        <v>1090000</v>
      </c>
    </row>
    <row r="97" spans="1:2" ht="15.6">
      <c r="A97" s="88"/>
      <c r="B97" s="88"/>
    </row>
    <row r="98" spans="1:2" ht="15.6">
      <c r="A98" s="89" t="s">
        <v>1318</v>
      </c>
      <c r="B98" s="89" t="s">
        <v>1335</v>
      </c>
    </row>
    <row r="99" spans="1:2" ht="15.6">
      <c r="A99" s="89" t="s">
        <v>1324</v>
      </c>
      <c r="B99" s="89" t="s">
        <v>394</v>
      </c>
    </row>
    <row r="100" spans="1:2" ht="15.6">
      <c r="A100" s="89" t="s">
        <v>1328</v>
      </c>
      <c r="B100" s="90">
        <v>163000</v>
      </c>
    </row>
    <row r="101" spans="1:2" ht="15.6">
      <c r="A101" s="88"/>
      <c r="B101" s="88"/>
    </row>
    <row r="102" spans="1:2" ht="15.6">
      <c r="A102" s="89" t="s">
        <v>1318</v>
      </c>
      <c r="B102" s="89" t="s">
        <v>1350</v>
      </c>
    </row>
    <row r="103" spans="1:2" ht="15.6">
      <c r="A103" s="89" t="s">
        <v>1324</v>
      </c>
      <c r="B103" s="89" t="s">
        <v>308</v>
      </c>
    </row>
    <row r="104" spans="1:2" ht="15.6">
      <c r="A104" s="89" t="s">
        <v>1328</v>
      </c>
      <c r="B104" s="90">
        <v>262000</v>
      </c>
    </row>
    <row r="105" spans="1:2" ht="15.6">
      <c r="A105" s="88"/>
      <c r="B105" s="88"/>
    </row>
    <row r="106" spans="1:2" ht="15.6">
      <c r="A106" s="89" t="s">
        <v>1318</v>
      </c>
      <c r="B106" s="89" t="s">
        <v>1350</v>
      </c>
    </row>
    <row r="107" spans="1:2" ht="15.6">
      <c r="A107" s="89" t="s">
        <v>1324</v>
      </c>
      <c r="B107" s="89" t="s">
        <v>313</v>
      </c>
    </row>
    <row r="108" spans="1:2" ht="15.6">
      <c r="A108" s="89" t="s">
        <v>1328</v>
      </c>
      <c r="B108" s="90">
        <v>191000</v>
      </c>
    </row>
    <row r="109" spans="1:2" ht="15.6">
      <c r="A109" s="88"/>
      <c r="B109" s="88"/>
    </row>
    <row r="110" spans="1:2" ht="15.6">
      <c r="A110" s="89" t="s">
        <v>1353</v>
      </c>
      <c r="B110" s="89" t="s">
        <v>193</v>
      </c>
    </row>
    <row r="111" spans="1:2">
      <c r="A111" s="267" t="s">
        <v>1355</v>
      </c>
      <c r="B111" s="86" t="s">
        <v>1386</v>
      </c>
    </row>
    <row r="112" spans="1:2">
      <c r="A112" s="267"/>
      <c r="B112" s="96" t="s">
        <v>1387</v>
      </c>
    </row>
    <row r="113" spans="1:2" ht="15.6">
      <c r="A113" s="89" t="s">
        <v>1359</v>
      </c>
      <c r="B113" s="89" t="s">
        <v>393</v>
      </c>
    </row>
    <row r="114" spans="1:2" ht="15.6">
      <c r="A114" s="89" t="s">
        <v>1362</v>
      </c>
      <c r="B114" s="91">
        <v>45985</v>
      </c>
    </row>
    <row r="115" spans="1:2" ht="15.6">
      <c r="A115" s="89" t="s">
        <v>1363</v>
      </c>
      <c r="B115" s="91">
        <v>45986</v>
      </c>
    </row>
    <row r="116" spans="1:2" ht="15.6">
      <c r="A116" s="92"/>
      <c r="B116" s="92"/>
    </row>
    <row r="117" spans="1:2" ht="15.6">
      <c r="A117" s="268" t="s">
        <v>1388</v>
      </c>
      <c r="B117" s="268"/>
    </row>
    <row r="118" spans="1:2" ht="15.6">
      <c r="A118" s="89" t="s">
        <v>1318</v>
      </c>
      <c r="B118" s="89" t="s">
        <v>1319</v>
      </c>
    </row>
    <row r="119" spans="1:2" ht="15.6">
      <c r="A119" s="89" t="s">
        <v>1324</v>
      </c>
      <c r="B119" s="89" t="s">
        <v>395</v>
      </c>
    </row>
    <row r="120" spans="1:2" ht="15.6">
      <c r="A120" s="89" t="s">
        <v>1328</v>
      </c>
      <c r="B120" s="90">
        <v>1090000</v>
      </c>
    </row>
    <row r="121" spans="1:2" ht="15.6">
      <c r="A121" s="88"/>
      <c r="B121" s="88"/>
    </row>
    <row r="122" spans="1:2" ht="15.6">
      <c r="A122" s="89" t="s">
        <v>1318</v>
      </c>
      <c r="B122" s="89" t="s">
        <v>1335</v>
      </c>
    </row>
    <row r="123" spans="1:2" ht="15.6">
      <c r="A123" s="89" t="s">
        <v>1324</v>
      </c>
      <c r="B123" s="89" t="s">
        <v>394</v>
      </c>
    </row>
    <row r="124" spans="1:2" ht="15.6">
      <c r="A124" s="89" t="s">
        <v>1328</v>
      </c>
      <c r="B124" s="90">
        <v>163000</v>
      </c>
    </row>
    <row r="125" spans="1:2" ht="15.6">
      <c r="A125" s="88"/>
      <c r="B125" s="88"/>
    </row>
    <row r="126" spans="1:2" ht="15.6">
      <c r="A126" s="89" t="s">
        <v>1318</v>
      </c>
      <c r="B126" s="89" t="s">
        <v>1350</v>
      </c>
    </row>
    <row r="127" spans="1:2" ht="15.6">
      <c r="A127" s="89" t="s">
        <v>1324</v>
      </c>
      <c r="B127" s="89" t="s">
        <v>308</v>
      </c>
    </row>
    <row r="128" spans="1:2" ht="15.6">
      <c r="A128" s="89" t="s">
        <v>1328</v>
      </c>
      <c r="B128" s="90">
        <v>262000</v>
      </c>
    </row>
    <row r="129" spans="1:2" ht="15.6">
      <c r="A129" s="88"/>
      <c r="B129" s="88"/>
    </row>
    <row r="130" spans="1:2" ht="15.6">
      <c r="A130" s="89" t="s">
        <v>1318</v>
      </c>
      <c r="B130" s="89" t="s">
        <v>1350</v>
      </c>
    </row>
    <row r="131" spans="1:2" ht="15.6">
      <c r="A131" s="89" t="s">
        <v>1324</v>
      </c>
      <c r="B131" s="89" t="s">
        <v>313</v>
      </c>
    </row>
    <row r="132" spans="1:2" ht="15.6">
      <c r="A132" s="89" t="s">
        <v>1328</v>
      </c>
      <c r="B132" s="90">
        <v>191000</v>
      </c>
    </row>
    <row r="133" spans="1:2" ht="15.6">
      <c r="A133" s="88"/>
      <c r="B133" s="88"/>
    </row>
    <row r="134" spans="1:2" ht="15.6">
      <c r="A134" s="89" t="s">
        <v>1353</v>
      </c>
      <c r="B134" s="89" t="s">
        <v>193</v>
      </c>
    </row>
    <row r="135" spans="1:2">
      <c r="A135" s="267" t="s">
        <v>1355</v>
      </c>
      <c r="B135" s="86" t="s">
        <v>1389</v>
      </c>
    </row>
    <row r="136" spans="1:2">
      <c r="A136" s="267"/>
      <c r="B136" s="87" t="s">
        <v>397</v>
      </c>
    </row>
    <row r="137" spans="1:2" ht="15.6">
      <c r="A137" s="89" t="s">
        <v>1359</v>
      </c>
      <c r="B137" s="89" t="s">
        <v>1390</v>
      </c>
    </row>
    <row r="138" spans="1:2" ht="15.6">
      <c r="A138" s="89" t="s">
        <v>1362</v>
      </c>
      <c r="B138" s="91">
        <v>45987</v>
      </c>
    </row>
    <row r="139" spans="1:2" ht="15.6">
      <c r="A139" s="89" t="s">
        <v>1363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127" priority="1">
      <formula>#REF!="CONCLUIDO"</formula>
    </cfRule>
    <cfRule type="expression" dxfId="126" priority="2">
      <formula>MID(TRIM(#REF!), LEN(TRIM(#REF!))-2, 3)="(D)"</formula>
    </cfRule>
    <cfRule type="expression" dxfId="125" priority="3">
      <formula>AND(INT(#REF!)=TODAY()+1, COUNTIF(#REF!,"CONCLUIDO*")+COUNTIF(#REF!,"CONCLUÍDO*")=0)</formula>
    </cfRule>
    <cfRule type="expression" dxfId="124" priority="4">
      <formula>AND(INT(#REF!)=TODAY(), COUNTIF(#REF!,"CONCLUIDO*")+COUNTIF(#REF!,"CONCLUÍDO*")=0)</formula>
    </cfRule>
    <cfRule type="expression" dxfId="123" priority="5">
      <formula>#REF!="RECEBIDO"</formula>
    </cfRule>
    <cfRule type="expression" dxfId="122" priority="6">
      <formula>#REF!="EM ROTA"</formula>
    </cfRule>
    <cfRule type="expression" dxfId="121" priority="7">
      <formula>#REF!="RECEBIDO (D)"</formula>
    </cfRule>
    <cfRule type="expression" dxfId="120" priority="8">
      <formula>#REF!="SUSPENSO"</formula>
    </cfRule>
    <cfRule type="expression" dxfId="119" priority="9">
      <formula>#REF!="PROGRAMADO (D)"</formula>
    </cfRule>
    <cfRule type="expression" dxfId="118" priority="10">
      <formula>#REF!="PROGRAMADO"</formula>
    </cfRule>
    <cfRule type="expression" dxfId="117" priority="11">
      <formula>#REF!="CONCLUIDO (D)"</formula>
    </cfRule>
  </conditionalFormatting>
  <conditionalFormatting sqref="H13:I13">
    <cfRule type="expression" dxfId="116" priority="12">
      <formula>#REF!="CONCLUIDO"</formula>
    </cfRule>
  </conditionalFormatting>
  <conditionalFormatting sqref="I13">
    <cfRule type="expression" dxfId="115" priority="13">
      <formula>MID(TRIM(#REF!), LEN(TRIM(#REF!))-2, 3)="(D)"</formula>
    </cfRule>
    <cfRule type="expression" dxfId="114" priority="14">
      <formula>AND(INT(#REF!)=TODAY()+1, COUNTIF(#REF!,"CONCLUIDO*")+COUNTIF(#REF!,"CONCLUÍDO*")=0)</formula>
    </cfRule>
    <cfRule type="expression" dxfId="113" priority="15">
      <formula>AND(INT(#REF!)=TODAY(), COUNTIF(#REF!,"CONCLUIDO*")+COUNTIF(#REF!,"CONCLUÍDO*")=0)</formula>
    </cfRule>
    <cfRule type="expression" dxfId="112" priority="16">
      <formula>#REF!="RECEBIDO"</formula>
    </cfRule>
    <cfRule type="expression" dxfId="111" priority="17">
      <formula>#REF!="EM ROTA"</formula>
    </cfRule>
    <cfRule type="expression" dxfId="110" priority="18">
      <formula>#REF!="RECEBIDO (D)"</formula>
    </cfRule>
    <cfRule type="expression" dxfId="109" priority="19">
      <formula>#REF!="SUSPENSO"</formula>
    </cfRule>
    <cfRule type="expression" dxfId="108" priority="20">
      <formula>#REF!="PROGRAMADO (D)"</formula>
    </cfRule>
    <cfRule type="expression" dxfId="107" priority="21">
      <formula>#REF!="PROGRAMADO"</formula>
    </cfRule>
    <cfRule type="expression" dxfId="106" priority="22">
      <formula>#REF!="CONCLUIDO (D)"</formula>
    </cfRule>
    <cfRule type="expression" dxfId="105" priority="23">
      <formula>#REF!="CONCLUIDO"</formula>
    </cfRule>
  </conditionalFormatting>
  <conditionalFormatting sqref="I11:J11">
    <cfRule type="expression" dxfId="104" priority="36">
      <formula>MID(TRIM(#REF!), LEN(TRIM(#REF!))-2, 3)="(D)"</formula>
    </cfRule>
    <cfRule type="expression" dxfId="103" priority="37">
      <formula>AND(INT(#REF!)=TODAY()+1, COUNTIF(#REF!,"CONCLUIDO*")+COUNTIF(#REF!,"CONCLUÍDO*")=0)</formula>
    </cfRule>
    <cfRule type="expression" dxfId="102" priority="38">
      <formula>AND(INT(#REF!)=TODAY(), COUNTIF(#REF!,"CONCLUIDO*")+COUNTIF(#REF!,"CONCLUÍDO*")=0)</formula>
    </cfRule>
    <cfRule type="expression" dxfId="101" priority="39">
      <formula>#REF!="RECEBIDO"</formula>
    </cfRule>
    <cfRule type="expression" dxfId="100" priority="40">
      <formula>#REF!="EM ROTA"</formula>
    </cfRule>
    <cfRule type="expression" dxfId="99" priority="41">
      <formula>#REF!="RECEBIDO (D)"</formula>
    </cfRule>
    <cfRule type="expression" dxfId="98" priority="42">
      <formula>#REF!="SUSPENSO"</formula>
    </cfRule>
    <cfRule type="expression" dxfId="97" priority="43">
      <formula>#REF!="PROGRAMADO (D)"</formula>
    </cfRule>
    <cfRule type="expression" dxfId="96" priority="44">
      <formula>#REF!="PROGRAMADO"</formula>
    </cfRule>
    <cfRule type="expression" dxfId="95" priority="45">
      <formula>#REF!="CONCLUIDO (D)"</formula>
    </cfRule>
    <cfRule type="expression" dxfId="94" priority="46">
      <formula>#REF!="CONCLUIDO"</formula>
    </cfRule>
  </conditionalFormatting>
  <conditionalFormatting sqref="I11:J12">
    <cfRule type="expression" dxfId="93" priority="35">
      <formula>#REF!="CONCLUIDO"</formula>
    </cfRule>
  </conditionalFormatting>
  <conditionalFormatting sqref="I12:J12">
    <cfRule type="expression" dxfId="92" priority="24">
      <formula>#REF!="CONCLUIDO"</formula>
    </cfRule>
    <cfRule type="expression" dxfId="91" priority="25">
      <formula>MID(TRIM(#REF!), LEN(TRIM(#REF!))-2, 3)="(D)"</formula>
    </cfRule>
    <cfRule type="expression" dxfId="90" priority="26">
      <formula>AND(INT(#REF!)=TODAY()+1, COUNTIF(#REF!,"CONCLUIDO*")+COUNTIF(#REF!,"CONCLUÍDO*")=0)</formula>
    </cfRule>
    <cfRule type="expression" dxfId="89" priority="27">
      <formula>AND(INT(#REF!)=TODAY(), COUNTIF(#REF!,"CONCLUIDO*")+COUNTIF(#REF!,"CONCLUÍDO*")=0)</formula>
    </cfRule>
    <cfRule type="expression" dxfId="88" priority="28">
      <formula>#REF!="RECEBIDO"</formula>
    </cfRule>
    <cfRule type="expression" dxfId="87" priority="29">
      <formula>#REF!="EM ROTA"</formula>
    </cfRule>
    <cfRule type="expression" dxfId="86" priority="30">
      <formula>#REF!="RECEBIDO (D)"</formula>
    </cfRule>
    <cfRule type="expression" dxfId="85" priority="31">
      <formula>#REF!="SUSPENSO"</formula>
    </cfRule>
    <cfRule type="expression" dxfId="84" priority="32">
      <formula>#REF!="PROGRAMADO (D)"</formula>
    </cfRule>
    <cfRule type="expression" dxfId="83" priority="33">
      <formula>#REF!="PROGRAMADO"</formula>
    </cfRule>
    <cfRule type="expression" dxfId="82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topLeftCell="AC1" zoomScaleNormal="100" workbookViewId="0">
      <selection activeCell="AS2" sqref="AS2"/>
    </sheetView>
  </sheetViews>
  <sheetFormatPr defaultColWidth="8.85546875" defaultRowHeight="13.5" customHeight="1"/>
  <cols>
    <col min="1" max="1" width="1.5703125" style="167" customWidth="1"/>
    <col min="2" max="2" width="16.5703125" style="167" bestFit="1" customWidth="1"/>
    <col min="3" max="3" width="14.42578125" style="167" bestFit="1" customWidth="1"/>
    <col min="4" max="4" width="12.42578125" style="167" bestFit="1" customWidth="1"/>
    <col min="5" max="5" width="13.5703125" style="167" bestFit="1" customWidth="1"/>
    <col min="6" max="6" width="12.140625" style="167" bestFit="1" customWidth="1"/>
    <col min="7" max="7" width="14.140625" style="167" bestFit="1" customWidth="1"/>
    <col min="8" max="8" width="11.85546875" style="167" bestFit="1" customWidth="1"/>
    <col min="9" max="9" width="16.28515625" style="167" bestFit="1" customWidth="1"/>
    <col min="10" max="10" width="9.42578125" style="167" bestFit="1" customWidth="1"/>
    <col min="11" max="11" width="12.42578125" style="167" bestFit="1" customWidth="1"/>
    <col min="12" max="12" width="13.5703125" style="167" bestFit="1" customWidth="1"/>
    <col min="13" max="13" width="12.140625" style="167" bestFit="1" customWidth="1"/>
    <col min="14" max="14" width="14.140625" style="167" bestFit="1" customWidth="1"/>
    <col min="15" max="15" width="1" style="167" customWidth="1"/>
    <col min="16" max="16" width="14.85546875" style="167" bestFit="1" customWidth="1"/>
    <col min="17" max="17" width="9.42578125" style="178" bestFit="1" customWidth="1"/>
    <col min="18" max="18" width="11.5703125" style="181" bestFit="1" customWidth="1"/>
    <col min="19" max="19" width="8.42578125" style="181" bestFit="1" customWidth="1"/>
    <col min="20" max="20" width="10.140625" style="178" bestFit="1" customWidth="1"/>
    <col min="21" max="21" width="1" style="167" customWidth="1"/>
    <col min="22" max="22" width="12.42578125" style="167" bestFit="1" customWidth="1"/>
    <col min="23" max="23" width="9.42578125" style="167" bestFit="1" customWidth="1"/>
    <col min="24" max="24" width="11.5703125" style="167" bestFit="1" customWidth="1"/>
    <col min="25" max="25" width="8.42578125" style="167" bestFit="1" customWidth="1"/>
    <col min="26" max="26" width="10.140625" style="167" bestFit="1" customWidth="1"/>
    <col min="27" max="27" width="1" style="167" customWidth="1"/>
    <col min="28" max="28" width="14.42578125" style="167" bestFit="1" customWidth="1"/>
    <col min="29" max="29" width="8.7109375" style="167" bestFit="1" customWidth="1"/>
    <col min="30" max="30" width="6.140625" style="167" bestFit="1" customWidth="1"/>
    <col min="31" max="31" width="1" style="167" customWidth="1"/>
    <col min="32" max="32" width="14.42578125" style="167" bestFit="1" customWidth="1"/>
    <col min="33" max="33" width="8.7109375" style="167" bestFit="1" customWidth="1"/>
    <col min="34" max="34" width="1" style="167" customWidth="1"/>
    <col min="35" max="35" width="20" style="167" bestFit="1" customWidth="1"/>
    <col min="36" max="36" width="8.7109375" style="167" bestFit="1" customWidth="1"/>
    <col min="37" max="37" width="1" style="167" customWidth="1"/>
    <col min="38" max="38" width="17.42578125" style="167" bestFit="1" customWidth="1"/>
    <col min="39" max="39" width="9.42578125" style="178" bestFit="1" customWidth="1"/>
    <col min="40" max="40" width="1" style="167" customWidth="1"/>
    <col min="41" max="41" width="19.28515625" style="167" bestFit="1" customWidth="1"/>
    <col min="42" max="42" width="8.7109375" style="178" bestFit="1" customWidth="1"/>
    <col min="43" max="43" width="1" style="167" customWidth="1"/>
    <col min="44" max="44" width="18.42578125" style="167" bestFit="1" customWidth="1"/>
    <col min="45" max="45" width="8.7109375" style="167" bestFit="1" customWidth="1"/>
    <col min="46" max="46" width="1" style="167" customWidth="1"/>
    <col min="47" max="47" width="18.42578125" style="167" bestFit="1" customWidth="1"/>
    <col min="48" max="48" width="8.7109375" style="167" bestFit="1" customWidth="1"/>
    <col min="49" max="49" width="1" style="167" customWidth="1"/>
    <col min="50" max="50" width="9.85546875" style="167" bestFit="1" customWidth="1"/>
    <col min="51" max="51" width="9" style="167" bestFit="1" customWidth="1"/>
    <col min="52" max="52" width="11.140625" style="167" bestFit="1" customWidth="1"/>
    <col min="53" max="53" width="15.5703125" style="167" bestFit="1" customWidth="1"/>
    <col min="54" max="54" width="12.85546875" style="167" bestFit="1" customWidth="1"/>
    <col min="55" max="55" width="13.28515625" style="241" bestFit="1" customWidth="1"/>
    <col min="56" max="56" width="14.85546875" style="156" bestFit="1" customWidth="1"/>
    <col min="57" max="57" width="9.42578125" style="156" bestFit="1" customWidth="1"/>
    <col min="58" max="58" width="9.28515625" style="156" bestFit="1" customWidth="1"/>
    <col min="59" max="59" width="6.140625" style="156" bestFit="1" customWidth="1"/>
    <col min="60" max="60" width="7.85546875" style="156" bestFit="1" customWidth="1"/>
    <col min="61" max="61" width="8.85546875" style="156"/>
    <col min="62" max="62" width="17.42578125" style="156" bestFit="1" customWidth="1"/>
    <col min="63" max="63" width="9.42578125" style="156" bestFit="1" customWidth="1"/>
    <col min="64" max="64" width="8.85546875" style="156"/>
    <col min="65" max="65" width="18.85546875" style="156" bestFit="1" customWidth="1"/>
    <col min="66" max="66" width="8.7109375" style="156" bestFit="1" customWidth="1"/>
    <col min="67" max="16384" width="8.85546875" style="156"/>
  </cols>
  <sheetData>
    <row r="1" spans="2:66" ht="13.9">
      <c r="B1" s="168" t="s">
        <v>1391</v>
      </c>
      <c r="C1" s="169"/>
      <c r="I1" s="170" t="s">
        <v>1392</v>
      </c>
      <c r="P1" s="170" t="s">
        <v>1393</v>
      </c>
      <c r="V1" s="170" t="s">
        <v>1394</v>
      </c>
      <c r="AB1" s="170" t="s">
        <v>1395</v>
      </c>
      <c r="AF1" s="170" t="s">
        <v>1396</v>
      </c>
      <c r="AI1" s="170" t="s">
        <v>1397</v>
      </c>
      <c r="AL1" s="170" t="s">
        <v>1398</v>
      </c>
      <c r="AO1" s="170" t="s">
        <v>1399</v>
      </c>
      <c r="AR1" s="170" t="s">
        <v>1400</v>
      </c>
      <c r="AU1" s="170" t="s">
        <v>1401</v>
      </c>
      <c r="AX1" s="170" t="s">
        <v>1402</v>
      </c>
      <c r="BD1" s="170" t="s">
        <v>1393</v>
      </c>
      <c r="BE1" s="167"/>
      <c r="BF1" s="167"/>
      <c r="BG1" s="167"/>
      <c r="BH1" s="167"/>
      <c r="BJ1" s="170" t="s">
        <v>1398</v>
      </c>
      <c r="BK1" s="167"/>
      <c r="BL1" s="167"/>
      <c r="BM1" s="170" t="s">
        <v>1399</v>
      </c>
      <c r="BN1" s="167"/>
    </row>
    <row r="2" spans="2:66" ht="13.9">
      <c r="B2" s="198" t="s">
        <v>1403</v>
      </c>
      <c r="C2" s="199" t="s">
        <v>159</v>
      </c>
      <c r="D2" s="199" t="s">
        <v>330</v>
      </c>
      <c r="E2" s="199" t="s">
        <v>196</v>
      </c>
      <c r="F2" s="199" t="s">
        <v>179</v>
      </c>
      <c r="G2" s="200" t="s">
        <v>182</v>
      </c>
      <c r="I2" s="219" t="s">
        <v>1404</v>
      </c>
      <c r="J2" s="220" t="s">
        <v>159</v>
      </c>
      <c r="K2" s="220" t="s">
        <v>330</v>
      </c>
      <c r="L2" s="220" t="s">
        <v>196</v>
      </c>
      <c r="M2" s="220" t="s">
        <v>179</v>
      </c>
      <c r="N2" s="221" t="s">
        <v>182</v>
      </c>
      <c r="O2" s="171"/>
      <c r="P2" s="199" t="s">
        <v>1405</v>
      </c>
      <c r="Q2" s="232" t="s">
        <v>419</v>
      </c>
      <c r="R2" s="233" t="s">
        <v>1406</v>
      </c>
      <c r="S2" s="233" t="s">
        <v>1407</v>
      </c>
      <c r="T2" s="231" t="s">
        <v>1408</v>
      </c>
      <c r="U2" s="171"/>
      <c r="V2" s="199" t="s">
        <v>1409</v>
      </c>
      <c r="W2" s="199" t="s">
        <v>419</v>
      </c>
      <c r="X2" s="199" t="s">
        <v>1406</v>
      </c>
      <c r="Y2" s="199" t="s">
        <v>1407</v>
      </c>
      <c r="Z2" s="200" t="s">
        <v>1408</v>
      </c>
      <c r="AA2" s="171"/>
      <c r="AB2" s="220" t="s">
        <v>1410</v>
      </c>
      <c r="AC2" s="220" t="s">
        <v>419</v>
      </c>
      <c r="AD2" s="220" t="s">
        <v>1411</v>
      </c>
      <c r="AF2" s="220" t="s">
        <v>1412</v>
      </c>
      <c r="AG2" s="220" t="s">
        <v>419</v>
      </c>
      <c r="AI2" s="220" t="s">
        <v>1413</v>
      </c>
      <c r="AJ2" s="220" t="s">
        <v>419</v>
      </c>
      <c r="AL2" s="234" t="s">
        <v>1414</v>
      </c>
      <c r="AM2" s="239" t="s">
        <v>419</v>
      </c>
      <c r="AO2" s="234" t="s">
        <v>1415</v>
      </c>
      <c r="AP2" s="239" t="s">
        <v>419</v>
      </c>
      <c r="AQ2" s="171"/>
      <c r="AR2" s="220" t="s">
        <v>1416</v>
      </c>
      <c r="AS2" s="235" t="s">
        <v>419</v>
      </c>
      <c r="AU2" s="220" t="s">
        <v>1416</v>
      </c>
      <c r="AV2" s="235" t="s">
        <v>419</v>
      </c>
      <c r="AX2" s="199" t="s">
        <v>1417</v>
      </c>
      <c r="AY2" s="238" t="s">
        <v>1407</v>
      </c>
      <c r="AZ2" s="200" t="s">
        <v>1418</v>
      </c>
      <c r="BA2" s="200" t="s">
        <v>1419</v>
      </c>
      <c r="BD2" s="202" t="s">
        <v>1405</v>
      </c>
      <c r="BE2" s="202" t="s">
        <v>419</v>
      </c>
      <c r="BF2" s="202" t="s">
        <v>1406</v>
      </c>
      <c r="BG2" s="202" t="s">
        <v>1407</v>
      </c>
      <c r="BH2" s="202" t="s">
        <v>1408</v>
      </c>
      <c r="BJ2" s="201" t="s">
        <v>1414</v>
      </c>
      <c r="BK2" s="201" t="s">
        <v>419</v>
      </c>
      <c r="BL2" s="167"/>
      <c r="BM2" s="201" t="s">
        <v>1415</v>
      </c>
      <c r="BN2" s="201" t="s">
        <v>419</v>
      </c>
    </row>
    <row r="3" spans="2:66" ht="13.9">
      <c r="B3" s="204" t="s">
        <v>1420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1421</v>
      </c>
      <c r="J3" s="173">
        <f>SUM(D10:D17)</f>
        <v>20082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10</v>
      </c>
      <c r="S3" s="208">
        <f t="shared" ca="1" si="0"/>
        <v>1914</v>
      </c>
      <c r="T3" s="180">
        <f ca="1">IF(BH3=0,"",BH3)</f>
        <v>6.2963949843260183</v>
      </c>
      <c r="U3" s="207"/>
      <c r="V3" s="209" t="s">
        <v>208</v>
      </c>
      <c r="W3" s="210">
        <f ca="1">SUMIF('FRETE MÁQUINAS'!$B:$E,CUSTOS!V3,'FRETE MÁQUINAS'!$E:$E)</f>
        <v>13966</v>
      </c>
      <c r="X3" s="211">
        <f>COUNTIF('FRETE MÁQUINAS'!B:B,CUSTOS!V3)</f>
        <v>12</v>
      </c>
      <c r="Y3" s="177">
        <f ca="1">SUMIF('FRETE MÁQUINAS'!$B:$E,CUSTOS!V3,'FRETE MÁQUINAS'!$D:$D)</f>
        <v>2961</v>
      </c>
      <c r="Z3" s="180">
        <f ca="1">W3/Y3</f>
        <v>4.7166497804795675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9345.6200000000008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7232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425</v>
      </c>
      <c r="AS3" s="213">
        <v>5633.04</v>
      </c>
      <c r="AU3" s="212" t="s">
        <v>432</v>
      </c>
      <c r="AV3" s="213">
        <v>4175</v>
      </c>
      <c r="AX3" s="236" t="s">
        <v>208</v>
      </c>
      <c r="AY3" s="177">
        <f ca="1">Y3</f>
        <v>2961</v>
      </c>
      <c r="AZ3" s="177">
        <f>AX7</f>
        <v>15</v>
      </c>
      <c r="BA3" s="237">
        <f ca="1">BB7</f>
        <v>0.61687500000000006</v>
      </c>
      <c r="BD3" s="174" t="str" cm="1">
        <f t="array" ref="BD3:BE10">_xlfn.LET(
    _xlpm.nomes, 'FRETE MÁQUINAS'!$B$2:$B$4998,
    _xlpm.valores, 'FRETE MÁQUINAS'!$F$2:$F$4998,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10</v>
      </c>
      <c r="BG3" s="176">
        <f ca="1">SUMIF('FRETE MÁQUINAS'!$B:$E,CUSTOS!BD3,'FRETE MÁQUINAS'!$D:$D)</f>
        <v>1914</v>
      </c>
      <c r="BH3" s="175">
        <f ca="1">BE3/BG3</f>
        <v>6.2963949843260183</v>
      </c>
      <c r="BJ3" s="172" t="str" cm="1">
        <f t="array" ref="BJ3:BK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6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9">
      <c r="B4" s="214" t="s">
        <v>1422</v>
      </c>
      <c r="C4" s="215">
        <f>AVERAGE(C6:C7)</f>
        <v>2386.9562500000002</v>
      </c>
      <c r="D4" s="215">
        <f>AVERAGE(D6:D7)</f>
        <v>125</v>
      </c>
      <c r="E4" s="215">
        <f>AVERAGE(E6:E7)</f>
        <v>732</v>
      </c>
      <c r="F4" s="215">
        <f>AVERAGE(F6:F7)</f>
        <v>290.625</v>
      </c>
      <c r="G4" s="216">
        <f>AVERAGE(G6:G7)</f>
        <v>790.625</v>
      </c>
      <c r="I4" s="217" t="s">
        <v>1423</v>
      </c>
      <c r="J4" s="173">
        <f>SUM(D18:D25)</f>
        <v>18109.3</v>
      </c>
      <c r="K4" s="173">
        <f>SUM(E18:E25)</f>
        <v>2000</v>
      </c>
      <c r="L4" s="173">
        <f>SUM(F18:F25)</f>
        <v>9600</v>
      </c>
      <c r="M4" s="173">
        <f>SUM(G18:G25)</f>
        <v>3350</v>
      </c>
      <c r="N4" s="218">
        <f>SUM(H18:H25)</f>
        <v>6950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15228</v>
      </c>
      <c r="X4" s="211">
        <f>COUNTIF('FRETE MÁQUINAS'!B:B,CUSTOS!V4)</f>
        <v>15</v>
      </c>
      <c r="Y4" s="177">
        <f ca="1">SUMIF('FRETE MÁQUINAS'!$B:$E,CUSTOS!V4,'FRETE MÁQUINAS'!$D:$D)</f>
        <v>2538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307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1424</v>
      </c>
      <c r="AS4" s="175">
        <v>87.62</v>
      </c>
      <c r="AU4" s="174" t="s">
        <v>1424</v>
      </c>
      <c r="AV4" s="175"/>
      <c r="AX4" s="209" t="s">
        <v>189</v>
      </c>
      <c r="AY4" s="177">
        <f ca="1">Y4</f>
        <v>2538</v>
      </c>
      <c r="AZ4" s="177">
        <f>AX8</f>
        <v>12</v>
      </c>
      <c r="BA4" s="237">
        <f ca="1">BB8</f>
        <v>0.66093749999999996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9">
      <c r="I5" s="222" t="s">
        <v>1425</v>
      </c>
      <c r="J5" s="223">
        <f>COUNTIF('FRETE MÁQUINAS'!$S:$S,CUSTOS!J2)</f>
        <v>55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12</v>
      </c>
      <c r="N5" s="224">
        <f>COUNTIF('FRETE MÁQUINAS'!$S:$S,CUSTOS!N2)</f>
        <v>15</v>
      </c>
      <c r="O5" s="181"/>
      <c r="P5" s="174" t="str">
        <f t="shared" si="3"/>
        <v>TERCEIRO AGROMAQ</v>
      </c>
      <c r="Q5" s="175">
        <f t="shared" si="0"/>
        <v>7200</v>
      </c>
      <c r="R5" s="208">
        <f t="shared" si="0"/>
        <v>10</v>
      </c>
      <c r="S5" s="208">
        <f t="shared" ca="1" si="0"/>
        <v>1374</v>
      </c>
      <c r="T5" s="180">
        <f t="shared" ca="1" si="0"/>
        <v>5.2401746724890828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1323.8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1426</v>
      </c>
      <c r="AS5" s="175">
        <v>133.13</v>
      </c>
      <c r="AU5" s="174" t="s">
        <v>1426</v>
      </c>
      <c r="AV5" s="175"/>
      <c r="BD5" s="174" t="str">
        <v>TERCEIRO AGROMAQ</v>
      </c>
      <c r="BE5" s="175">
        <v>7200</v>
      </c>
      <c r="BF5" s="208">
        <f>COUNTIF('FRETE MÁQUINAS'!B:B,CUSTOS!BD5)</f>
        <v>10</v>
      </c>
      <c r="BG5" s="176">
        <f ca="1">SUMIF('FRETE MÁQUINAS'!$B:$E,CUSTOS!BD5,'FRETE MÁQUINAS'!$D:$D)</f>
        <v>1374</v>
      </c>
      <c r="BH5" s="175">
        <f t="shared" ca="1" si="4"/>
        <v>5.2401746724890828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9">
      <c r="B6" s="174" t="s">
        <v>1427</v>
      </c>
      <c r="C6" s="175">
        <f>AVERAGE(D10:D17)</f>
        <v>2510.25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ZORTEA</v>
      </c>
      <c r="Q6" s="175">
        <f t="shared" si="0"/>
        <v>5400</v>
      </c>
      <c r="R6" s="208">
        <f t="shared" si="0"/>
        <v>2</v>
      </c>
      <c r="S6" s="208">
        <f t="shared" ca="1" si="0"/>
        <v>956</v>
      </c>
      <c r="T6" s="180">
        <f t="shared" ca="1" si="0"/>
        <v>5.6485355648535567</v>
      </c>
      <c r="U6" s="181"/>
      <c r="V6" s="181"/>
      <c r="W6" s="181"/>
      <c r="X6" s="181"/>
      <c r="Y6" s="181"/>
      <c r="Z6" s="181"/>
      <c r="AA6" s="178"/>
      <c r="AB6" s="174" t="s">
        <v>289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396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307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>TX LOG -TR PEÇA</v>
      </c>
      <c r="AP6" s="240">
        <f t="shared" ref="AP6:AP35" si="6">IF(BN6=0,"",BN6)</f>
        <v>847.8</v>
      </c>
      <c r="AQ6" s="178"/>
      <c r="AR6" s="174" t="s">
        <v>1428</v>
      </c>
      <c r="AS6" s="175"/>
      <c r="AU6" s="174" t="s">
        <v>1428</v>
      </c>
      <c r="AV6" s="175"/>
      <c r="AX6" s="203" t="s">
        <v>1418</v>
      </c>
      <c r="AY6" s="203" t="s">
        <v>1408</v>
      </c>
      <c r="AZ6" s="202" t="s">
        <v>1429</v>
      </c>
      <c r="BA6" s="203" t="s">
        <v>1430</v>
      </c>
      <c r="BB6" s="202" t="s">
        <v>1419</v>
      </c>
      <c r="BD6" s="174" t="str">
        <v>TERCEIRO ZORTEA</v>
      </c>
      <c r="BE6" s="175">
        <v>5400</v>
      </c>
      <c r="BF6" s="208">
        <f>COUNTIF('FRETE MÁQUINAS'!B:B,CUSTOS!BD6)</f>
        <v>2</v>
      </c>
      <c r="BG6" s="176">
        <f ca="1">SUMIF('FRETE MÁQUINAS'!$B:$E,CUSTOS!BD6,'FRETE MÁQUINAS'!$D:$D)</f>
        <v>956</v>
      </c>
      <c r="BH6" s="175">
        <f t="shared" ca="1" si="4"/>
        <v>5.6485355648535567</v>
      </c>
      <c r="BJ6" s="172" t="str">
        <v>UNIBOY COURIER</v>
      </c>
      <c r="BK6" s="173">
        <v>1860</v>
      </c>
      <c r="BL6" s="167"/>
      <c r="BM6" s="172" t="str">
        <v>TX LOG -TR PEÇA</v>
      </c>
      <c r="BN6" s="173">
        <v>847.8</v>
      </c>
    </row>
    <row r="7" spans="2:66" ht="13.9">
      <c r="B7" s="174" t="s">
        <v>1431</v>
      </c>
      <c r="C7" s="175">
        <f>AVERAGE(D18:D25)</f>
        <v>2263.6624999999999</v>
      </c>
      <c r="D7" s="175">
        <f>AVERAGE(E18:E25)</f>
        <v>250</v>
      </c>
      <c r="E7" s="175">
        <f>AVERAGE(F18:F25)</f>
        <v>1200</v>
      </c>
      <c r="F7" s="180">
        <f>AVERAGE(G18:G25)</f>
        <v>418.75</v>
      </c>
      <c r="G7" s="175">
        <f>AVERAGE(H18:H25)</f>
        <v>868.75</v>
      </c>
      <c r="P7" s="174" t="str">
        <f t="shared" si="3"/>
        <v>TERCEIRO DEMETRIO</v>
      </c>
      <c r="Q7" s="175">
        <f t="shared" si="0"/>
        <v>2830</v>
      </c>
      <c r="R7" s="208">
        <f t="shared" si="0"/>
        <v>7</v>
      </c>
      <c r="S7" s="208">
        <f t="shared" ca="1" si="0"/>
        <v>748</v>
      </c>
      <c r="T7" s="180">
        <f t="shared" ca="1" si="0"/>
        <v>3.7834224598930479</v>
      </c>
      <c r="AB7" s="174" t="s">
        <v>307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251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396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1432</v>
      </c>
      <c r="AS7" s="175"/>
      <c r="AU7" s="174" t="s">
        <v>1432</v>
      </c>
      <c r="AV7" s="175"/>
      <c r="AX7" s="177">
        <f>COUNTIF('FRETE MÁQUINAS'!B:B,"PROPRIO VW")</f>
        <v>15</v>
      </c>
      <c r="AY7" s="180">
        <f ca="1">W3/Y3</f>
        <v>4.7166497804795675</v>
      </c>
      <c r="AZ7" s="182">
        <f ca="1">IFERROR((Y3*1.5)/1440, "?")</f>
        <v>3.0843750000000001</v>
      </c>
      <c r="BA7" s="183">
        <f ca="1">IFERROR(Y3/AX7,0)</f>
        <v>197.4</v>
      </c>
      <c r="BB7" s="179">
        <f ca="1">IFERROR((AZ7*24)/(AX7*8),0)</f>
        <v>0.61687500000000006</v>
      </c>
      <c r="BD7" s="174" t="str">
        <v>TERCEIRO DEMETRIO</v>
      </c>
      <c r="BE7" s="175">
        <v>2830</v>
      </c>
      <c r="BF7" s="208">
        <f>COUNTIF('FRETE MÁQUINAS'!B:B,CUSTOS!BD7)</f>
        <v>7</v>
      </c>
      <c r="BG7" s="176">
        <f ca="1">SUMIF('FRETE MÁQUINAS'!$B:$E,CUSTOS!BD7,'FRETE MÁQUINAS'!$D:$D)</f>
        <v>748</v>
      </c>
      <c r="BH7" s="175">
        <f t="shared" ca="1" si="4"/>
        <v>3.7834224598930479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9">
      <c r="I8" s="171"/>
      <c r="J8" s="171"/>
      <c r="K8" s="171"/>
      <c r="L8" s="171"/>
      <c r="M8" s="171"/>
      <c r="N8" s="171"/>
      <c r="P8" s="174" t="str">
        <f t="shared" si="3"/>
        <v>TERCEIRO NELSON</v>
      </c>
      <c r="Q8" s="175">
        <f t="shared" si="0"/>
        <v>2270</v>
      </c>
      <c r="R8" s="208">
        <f t="shared" si="0"/>
        <v>2</v>
      </c>
      <c r="S8" s="208">
        <f t="shared" ca="1" si="0"/>
        <v>315</v>
      </c>
      <c r="T8" s="180">
        <f t="shared" ca="1" si="0"/>
        <v>7.2063492063492065</v>
      </c>
      <c r="AB8" s="174" t="s">
        <v>396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862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1433</v>
      </c>
      <c r="AS8" s="175"/>
      <c r="AU8" s="174" t="s">
        <v>1433</v>
      </c>
      <c r="AV8" s="175">
        <v>250.79</v>
      </c>
      <c r="AX8" s="177">
        <f>COUNTIF('FRETE MÁQUINAS'!B:B,"PROPRIO DAF")</f>
        <v>12</v>
      </c>
      <c r="AY8" s="180">
        <f ca="1">W4/Y4</f>
        <v>6</v>
      </c>
      <c r="AZ8" s="182">
        <f ca="1">IFERROR((Y4*1.5)/1440, "?")</f>
        <v>2.6437499999999998</v>
      </c>
      <c r="BA8" s="183">
        <f ca="1">IFERROR(Y4/AX8,0)</f>
        <v>211.5</v>
      </c>
      <c r="BB8" s="179">
        <f ca="1">IFERROR((AZ8*24)/(AX8*8),0)</f>
        <v>0.66093749999999996</v>
      </c>
      <c r="BD8" s="174" t="str">
        <v>TERCEIRO NELSON</v>
      </c>
      <c r="BE8" s="175">
        <v>2270</v>
      </c>
      <c r="BF8" s="208">
        <f>COUNTIF('FRETE MÁQUINAS'!B:B,CUSTOS!BD8)</f>
        <v>2</v>
      </c>
      <c r="BG8" s="176">
        <f ca="1">SUMIF('FRETE MÁQUINAS'!$B:$E,CUSTOS!BD8,'FRETE MÁQUINAS'!$D:$D)</f>
        <v>315</v>
      </c>
      <c r="BH8" s="175">
        <f t="shared" ca="1" si="4"/>
        <v>7.2063492063492065</v>
      </c>
      <c r="BJ8" s="172" t="str">
        <v>ANDREIA R. COURIER</v>
      </c>
      <c r="BK8" s="173">
        <v>550</v>
      </c>
      <c r="BL8" s="167"/>
      <c r="BM8" s="172"/>
      <c r="BN8" s="173"/>
    </row>
    <row r="9" spans="2:66" ht="13.9">
      <c r="B9" s="225" t="s">
        <v>142</v>
      </c>
      <c r="C9" s="225" t="s">
        <v>1434</v>
      </c>
      <c r="D9" s="225" t="s">
        <v>159</v>
      </c>
      <c r="E9" s="225" t="s">
        <v>330</v>
      </c>
      <c r="F9" s="225" t="s">
        <v>196</v>
      </c>
      <c r="G9" s="225" t="s">
        <v>179</v>
      </c>
      <c r="H9" s="225" t="s">
        <v>182</v>
      </c>
      <c r="I9" s="225" t="s">
        <v>1435</v>
      </c>
      <c r="J9" s="225" t="s">
        <v>1436</v>
      </c>
      <c r="K9" s="171"/>
      <c r="L9" s="171"/>
      <c r="M9" s="171"/>
      <c r="N9" s="171"/>
      <c r="P9" s="174" t="str">
        <f t="shared" si="3"/>
        <v>TERCEIRO JAPONES</v>
      </c>
      <c r="Q9" s="175">
        <f t="shared" si="0"/>
        <v>1328</v>
      </c>
      <c r="R9" s="208">
        <f t="shared" si="0"/>
        <v>1</v>
      </c>
      <c r="S9" s="208">
        <f t="shared" ca="1" si="0"/>
        <v>166</v>
      </c>
      <c r="T9" s="180">
        <f t="shared" ca="1" si="0"/>
        <v>8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251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862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1437</v>
      </c>
      <c r="AS9" s="175"/>
      <c r="AU9" s="174" t="s">
        <v>1437</v>
      </c>
      <c r="AV9" s="175"/>
      <c r="BD9" s="174" t="str">
        <v>TERCEIRO JAPONES</v>
      </c>
      <c r="BE9" s="175">
        <v>1328</v>
      </c>
      <c r="BF9" s="208">
        <f>COUNTIF('FRETE MÁQUINAS'!B:B,CUSTOS!BD9)</f>
        <v>1</v>
      </c>
      <c r="BG9" s="176">
        <f ca="1">SUMIF('FRETE MÁQUINAS'!$B:$E,CUSTOS!BD9,'FRETE MÁQUINAS'!$D:$D)</f>
        <v>166</v>
      </c>
      <c r="BH9" s="175">
        <f t="shared" ca="1" si="4"/>
        <v>8</v>
      </c>
      <c r="BJ9" s="172" t="str">
        <v>JOHN ELVIS COURIER</v>
      </c>
      <c r="BK9" s="173">
        <v>150</v>
      </c>
      <c r="BL9" s="167"/>
      <c r="BM9" s="172"/>
      <c r="BN9" s="173"/>
    </row>
    <row r="10" spans="2:66" ht="13.9">
      <c r="B10" s="192" t="s">
        <v>1438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3306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7468</v>
      </c>
      <c r="J10" s="194">
        <f>IFERROR(COUNTIFS( 'FRETE MÁQUINAS'!$R:$R, CUSTOS!C10,'FRETE MÁQUINAS'!$B:$B, "PROPRIO*" ), 0)</f>
        <v>12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1439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1439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1439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1440</v>
      </c>
      <c r="AS10" s="230">
        <v>6520</v>
      </c>
      <c r="AU10" s="227" t="s">
        <v>1440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9">
      <c r="B11" s="192" t="s">
        <v>1438</v>
      </c>
      <c r="C11" s="192" t="s">
        <v>307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9">
      <c r="B12" s="192" t="s">
        <v>1438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1441</v>
      </c>
      <c r="AU12" s="167" t="s">
        <v>1441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9">
      <c r="B13" s="192" t="s">
        <v>1438</v>
      </c>
      <c r="C13" s="192" t="s">
        <v>396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9">
      <c r="B14" s="192" t="s">
        <v>1438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9">
      <c r="B15" s="192" t="s">
        <v>1438</v>
      </c>
      <c r="C15" s="192" t="s">
        <v>251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9">
      <c r="B16" s="192" t="s">
        <v>1438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9">
      <c r="B17" s="192" t="s">
        <v>1438</v>
      </c>
      <c r="C17" s="192" t="s">
        <v>1439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9">
      <c r="B18" s="195" t="s">
        <v>1442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9">
      <c r="B19" s="195" t="s">
        <v>1442</v>
      </c>
      <c r="C19" s="195" t="s">
        <v>307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9">
      <c r="B20" s="195" t="s">
        <v>1442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2000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2700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6300</v>
      </c>
      <c r="I20" s="196">
        <f t="shared" si="7"/>
        <v>15598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9">
      <c r="B21" s="195" t="s">
        <v>1442</v>
      </c>
      <c r="C21" s="195" t="s">
        <v>396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9">
      <c r="B22" s="195" t="s">
        <v>1442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2760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2760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9">
      <c r="B23" s="195" t="s">
        <v>1442</v>
      </c>
      <c r="C23" s="195" t="s">
        <v>251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9">
      <c r="B24" s="195" t="s">
        <v>1442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10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9">
      <c r="B25" s="195" t="s">
        <v>1442</v>
      </c>
      <c r="C25" s="195" t="s">
        <v>1439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9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9">
      <c r="C27" s="269" t="s">
        <v>1443</v>
      </c>
      <c r="D27" s="269"/>
      <c r="E27" s="269"/>
      <c r="F27" s="269"/>
      <c r="G27" s="269"/>
      <c r="H27" s="269"/>
      <c r="I27" s="269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9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9">
      <c r="C29" s="188" t="s">
        <v>307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9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2000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2700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13040</v>
      </c>
      <c r="I30" s="189">
        <f t="shared" si="13"/>
        <v>15740</v>
      </c>
      <c r="J30" s="186">
        <f t="shared" si="12"/>
        <v>22338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9">
      <c r="C31" s="188" t="s">
        <v>396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9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2760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2760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9">
      <c r="C33" s="188" t="s">
        <v>251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980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980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9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9">
      <c r="C35" s="188" t="s">
        <v>1439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9">
      <c r="BJ36" s="167"/>
      <c r="BK36" s="167"/>
      <c r="BL36" s="167"/>
      <c r="BM36" s="167"/>
      <c r="BN36" s="167"/>
    </row>
    <row r="37" spans="3:66" ht="13.9">
      <c r="BJ37" s="167"/>
      <c r="BK37" s="167"/>
      <c r="BL37" s="167"/>
      <c r="BM37" s="167"/>
      <c r="BN37" s="167"/>
    </row>
    <row r="38" spans="3:66" ht="13.9">
      <c r="BJ38" s="167"/>
      <c r="BK38" s="167"/>
      <c r="BL38" s="167"/>
      <c r="BM38" s="167"/>
      <c r="BN38" s="167"/>
    </row>
    <row r="39" spans="3:66" ht="13.9">
      <c r="BJ39" s="167"/>
      <c r="BK39" s="167"/>
      <c r="BL39" s="167"/>
      <c r="BM39" s="167"/>
      <c r="BN39" s="167"/>
    </row>
    <row r="40" spans="3:66" ht="13.9">
      <c r="BJ40" s="167"/>
      <c r="BK40" s="167"/>
      <c r="BL40" s="167"/>
      <c r="BM40" s="167"/>
      <c r="BN40" s="167"/>
    </row>
    <row r="41" spans="3:66" ht="13.9">
      <c r="BJ41" s="167"/>
      <c r="BK41" s="167"/>
      <c r="BL41" s="167"/>
      <c r="BM41" s="167"/>
      <c r="BN41" s="167"/>
    </row>
    <row r="42" spans="3:66" ht="13.9">
      <c r="BJ42" s="167"/>
      <c r="BK42" s="167"/>
      <c r="BL42" s="167"/>
      <c r="BM42" s="167"/>
      <c r="BN42" s="167"/>
    </row>
    <row r="43" spans="3:66" ht="13.9">
      <c r="BJ43" s="167"/>
      <c r="BK43" s="167"/>
      <c r="BL43" s="167"/>
      <c r="BM43" s="167"/>
      <c r="BN43" s="167"/>
    </row>
    <row r="44" spans="3:66" ht="13.9">
      <c r="BJ44" s="167"/>
      <c r="BK44" s="167"/>
      <c r="BL44" s="167"/>
      <c r="BM44" s="167"/>
      <c r="BN44" s="167"/>
    </row>
    <row r="45" spans="3:66" ht="13.9">
      <c r="BJ45" s="167"/>
      <c r="BK45" s="167"/>
      <c r="BL45" s="167"/>
      <c r="BM45" s="167"/>
      <c r="BN45" s="167"/>
    </row>
    <row r="46" spans="3:66" ht="13.9">
      <c r="BJ46" s="167"/>
      <c r="BK46" s="167"/>
      <c r="BL46" s="167"/>
      <c r="BM46" s="167"/>
      <c r="BN46" s="167"/>
    </row>
    <row r="47" spans="3:66" ht="13.9">
      <c r="BJ47" s="167"/>
      <c r="BK47" s="167"/>
      <c r="BL47" s="167"/>
      <c r="BM47" s="167"/>
      <c r="BN47" s="167"/>
    </row>
    <row r="48" spans="3:66" ht="13.9">
      <c r="BJ48" s="167"/>
      <c r="BK48" s="167"/>
      <c r="BL48" s="167"/>
      <c r="BM48" s="167"/>
      <c r="BN48" s="167"/>
    </row>
    <row r="49" spans="62:66" ht="13.9">
      <c r="BJ49" s="167"/>
      <c r="BK49" s="167"/>
      <c r="BL49" s="167"/>
      <c r="BM49" s="167"/>
      <c r="BN49" s="167"/>
    </row>
    <row r="50" spans="62:66" ht="13.5" customHeight="1">
      <c r="BJ50" s="167"/>
      <c r="BK50" s="167"/>
      <c r="BL50" s="167"/>
      <c r="BM50" s="167"/>
      <c r="BN50" s="167"/>
    </row>
    <row r="51" spans="62:66" ht="13.5" customHeight="1">
      <c r="BJ51" s="167"/>
      <c r="BK51" s="167"/>
      <c r="BL51" s="167"/>
      <c r="BM51" s="167"/>
      <c r="BN51" s="167"/>
    </row>
    <row r="52" spans="62:66" ht="13.5" customHeight="1">
      <c r="BJ52" s="167"/>
      <c r="BK52" s="167"/>
      <c r="BL52" s="167"/>
      <c r="BM52" s="167"/>
      <c r="BN52" s="167"/>
    </row>
    <row r="53" spans="62:66" ht="13.5" customHeight="1">
      <c r="BJ53" s="167"/>
      <c r="BK53" s="167"/>
      <c r="BL53" s="167"/>
      <c r="BM53" s="167"/>
      <c r="BN53" s="167"/>
    </row>
    <row r="54" spans="62:66" ht="13.5" customHeight="1">
      <c r="BJ54" s="167"/>
      <c r="BK54" s="167"/>
      <c r="BL54" s="167"/>
      <c r="BM54" s="167"/>
      <c r="BN54" s="167"/>
    </row>
    <row r="55" spans="62:66" ht="13.5" customHeight="1">
      <c r="BJ55" s="167"/>
      <c r="BK55" s="167"/>
      <c r="BL55" s="167"/>
      <c r="BM55" s="167"/>
      <c r="BN55" s="167"/>
    </row>
    <row r="56" spans="62:66" ht="13.5" customHeight="1">
      <c r="BJ56" s="167"/>
      <c r="BK56" s="167"/>
      <c r="BL56" s="167"/>
      <c r="BM56" s="167"/>
      <c r="BN56" s="167"/>
    </row>
    <row r="57" spans="62:66" ht="13.5" customHeight="1">
      <c r="BJ57" s="167"/>
      <c r="BK57" s="167"/>
      <c r="BL57" s="167"/>
      <c r="BM57" s="167"/>
      <c r="BN57" s="167"/>
    </row>
    <row r="58" spans="62:66" ht="13.5" customHeight="1">
      <c r="BJ58" s="167"/>
      <c r="BK58" s="167"/>
      <c r="BL58" s="167"/>
      <c r="BM58" s="167"/>
      <c r="BN58" s="167"/>
    </row>
    <row r="59" spans="62:66" ht="13.5" customHeight="1">
      <c r="BJ59" s="167"/>
      <c r="BK59" s="167"/>
      <c r="BL59" s="167"/>
      <c r="BM59" s="167"/>
      <c r="BN59" s="167"/>
    </row>
    <row r="60" spans="62:66" ht="13.5" customHeight="1">
      <c r="BJ60" s="167"/>
      <c r="BK60" s="167"/>
      <c r="BL60" s="167"/>
      <c r="BM60" s="167"/>
      <c r="BN60" s="167"/>
    </row>
    <row r="61" spans="62:66" ht="13.5" customHeight="1">
      <c r="BJ61" s="167"/>
      <c r="BK61" s="167"/>
      <c r="BL61" s="167"/>
      <c r="BM61" s="167"/>
      <c r="BN61" s="167"/>
    </row>
    <row r="62" spans="62:66" ht="13.5" customHeight="1">
      <c r="BJ62" s="167"/>
      <c r="BK62" s="167"/>
      <c r="BL62" s="167"/>
      <c r="BM62" s="167"/>
      <c r="BN62" s="167"/>
    </row>
    <row r="63" spans="62:66" ht="13.5" customHeight="1">
      <c r="BJ63" s="167"/>
      <c r="BK63" s="167"/>
      <c r="BL63" s="167"/>
      <c r="BM63" s="167"/>
      <c r="BN63" s="167"/>
    </row>
    <row r="64" spans="62:66" ht="13.5" customHeight="1">
      <c r="BJ64" s="167"/>
      <c r="BK64" s="167"/>
      <c r="BL64" s="167"/>
      <c r="BM64" s="167"/>
      <c r="BN64" s="167"/>
    </row>
    <row r="65" spans="62:66" ht="13.5" customHeight="1">
      <c r="BJ65" s="167"/>
      <c r="BK65" s="167"/>
      <c r="BL65" s="167"/>
      <c r="BM65" s="167"/>
      <c r="BN65" s="167"/>
    </row>
    <row r="66" spans="62:66" ht="13.5" customHeight="1">
      <c r="BJ66" s="167"/>
      <c r="BK66" s="167"/>
      <c r="BL66" s="167"/>
      <c r="BM66" s="167"/>
      <c r="BN66" s="167"/>
    </row>
    <row r="67" spans="62:66" ht="13.5" customHeight="1">
      <c r="BJ67" s="167"/>
      <c r="BK67" s="167"/>
      <c r="BL67" s="167"/>
      <c r="BM67" s="167"/>
      <c r="BN67" s="167"/>
    </row>
    <row r="68" spans="62:66" ht="13.5" customHeight="1">
      <c r="BJ68" s="167"/>
      <c r="BK68" s="167"/>
      <c r="BL68" s="167"/>
      <c r="BM68" s="167"/>
      <c r="BN68" s="167"/>
    </row>
    <row r="69" spans="62:66" ht="13.5" customHeight="1">
      <c r="BJ69" s="167"/>
      <c r="BK69" s="167"/>
      <c r="BL69" s="167"/>
      <c r="BM69" s="167"/>
      <c r="BN69" s="167"/>
    </row>
    <row r="70" spans="62:66" ht="13.5" customHeight="1">
      <c r="BJ70" s="167"/>
      <c r="BK70" s="167"/>
      <c r="BL70" s="167"/>
      <c r="BM70" s="167"/>
      <c r="BN70" s="167"/>
    </row>
    <row r="71" spans="62:66" ht="13.5" customHeight="1">
      <c r="BJ71" s="167"/>
      <c r="BK71" s="167"/>
      <c r="BL71" s="167"/>
      <c r="BM71" s="167"/>
      <c r="BN71" s="167"/>
    </row>
    <row r="72" spans="62:66" ht="13.5" customHeight="1">
      <c r="BJ72" s="167"/>
      <c r="BK72" s="167"/>
      <c r="BL72" s="167"/>
      <c r="BM72" s="167"/>
      <c r="BN72" s="167"/>
    </row>
    <row r="73" spans="62:66" ht="13.5" customHeight="1">
      <c r="BJ73" s="167"/>
      <c r="BK73" s="167"/>
      <c r="BL73" s="167"/>
      <c r="BM73" s="167"/>
      <c r="BN73" s="167"/>
    </row>
    <row r="74" spans="62:66" ht="13.5" customHeight="1">
      <c r="BJ74" s="167"/>
      <c r="BK74" s="167"/>
      <c r="BL74" s="167"/>
      <c r="BM74" s="167"/>
      <c r="BN74" s="167"/>
    </row>
    <row r="75" spans="62:66" ht="13.5" customHeight="1">
      <c r="BJ75" s="167"/>
      <c r="BK75" s="167"/>
      <c r="BL75" s="167"/>
      <c r="BM75" s="167"/>
      <c r="BN75" s="167"/>
    </row>
    <row r="76" spans="62:66" ht="13.5" customHeight="1">
      <c r="BJ76" s="167"/>
      <c r="BK76" s="167"/>
      <c r="BL76" s="167"/>
      <c r="BM76" s="167"/>
      <c r="BN76" s="167"/>
    </row>
    <row r="77" spans="62:66" ht="13.5" customHeight="1">
      <c r="BJ77" s="167"/>
      <c r="BK77" s="167"/>
      <c r="BL77" s="167"/>
      <c r="BM77" s="167"/>
      <c r="BN77" s="167"/>
    </row>
    <row r="78" spans="62:66" ht="13.5" customHeight="1">
      <c r="BJ78" s="167"/>
      <c r="BK78" s="167"/>
      <c r="BL78" s="167"/>
      <c r="BM78" s="167"/>
      <c r="BN78" s="167"/>
    </row>
    <row r="79" spans="62:66" ht="13.5" customHeight="1">
      <c r="BJ79" s="167"/>
      <c r="BK79" s="167"/>
      <c r="BL79" s="167"/>
      <c r="BM79" s="167"/>
      <c r="BN79" s="167"/>
    </row>
    <row r="80" spans="62:66" ht="13.5" customHeight="1">
      <c r="BJ80" s="167"/>
      <c r="BK80" s="167"/>
      <c r="BL80" s="167"/>
      <c r="BM80" s="167"/>
      <c r="BN80" s="167"/>
    </row>
    <row r="81" spans="62:66" ht="13.5" customHeight="1">
      <c r="BJ81" s="167"/>
      <c r="BK81" s="167"/>
      <c r="BL81" s="167"/>
      <c r="BM81" s="167"/>
      <c r="BN81" s="167"/>
    </row>
    <row r="82" spans="62:66" ht="13.5" customHeight="1">
      <c r="BJ82" s="167"/>
      <c r="BK82" s="167"/>
      <c r="BL82" s="167"/>
      <c r="BM82" s="167"/>
      <c r="BN82" s="167"/>
    </row>
    <row r="83" spans="62:66" ht="13.5" customHeight="1">
      <c r="BJ83" s="167"/>
      <c r="BK83" s="167"/>
      <c r="BL83" s="167"/>
      <c r="BM83" s="167"/>
      <c r="BN83" s="167"/>
    </row>
    <row r="84" spans="62:66" ht="13.5" customHeight="1">
      <c r="BJ84" s="167"/>
      <c r="BK84" s="167"/>
      <c r="BL84" s="167"/>
      <c r="BM84" s="167"/>
      <c r="BN84" s="167"/>
    </row>
    <row r="85" spans="62:66" ht="13.5" customHeight="1">
      <c r="BJ85" s="167"/>
      <c r="BK85" s="167"/>
      <c r="BL85" s="167"/>
      <c r="BM85" s="167"/>
      <c r="BN85" s="167"/>
    </row>
    <row r="86" spans="62:66" ht="13.5" customHeight="1">
      <c r="BJ86" s="167"/>
      <c r="BK86" s="167"/>
      <c r="BL86" s="167"/>
      <c r="BM86" s="167"/>
      <c r="BN86" s="167"/>
    </row>
    <row r="87" spans="62:66" ht="13.5" customHeight="1">
      <c r="BJ87" s="167"/>
      <c r="BK87" s="167"/>
      <c r="BL87" s="167"/>
      <c r="BM87" s="167"/>
      <c r="BN87" s="167"/>
    </row>
    <row r="88" spans="62:66" ht="13.5" customHeight="1">
      <c r="BJ88" s="167"/>
      <c r="BK88" s="167"/>
      <c r="BL88" s="167"/>
      <c r="BM88" s="167"/>
      <c r="BN88" s="167"/>
    </row>
    <row r="89" spans="62:66" ht="13.5" customHeight="1">
      <c r="BJ89" s="167"/>
      <c r="BK89" s="167"/>
      <c r="BL89" s="167"/>
      <c r="BM89" s="167"/>
      <c r="BN89" s="167"/>
    </row>
    <row r="90" spans="62:66" ht="13.5" customHeight="1">
      <c r="BJ90" s="167"/>
      <c r="BK90" s="167"/>
      <c r="BL90" s="167"/>
      <c r="BM90" s="167"/>
      <c r="BN90" s="167"/>
    </row>
    <row r="91" spans="62:66" ht="13.5" customHeight="1">
      <c r="BJ91" s="167"/>
      <c r="BK91" s="167"/>
      <c r="BL91" s="167"/>
      <c r="BM91" s="167"/>
      <c r="BN91" s="167"/>
    </row>
    <row r="92" spans="62:66" ht="13.5" customHeight="1">
      <c r="BJ92" s="167"/>
      <c r="BK92" s="167"/>
      <c r="BL92" s="167"/>
      <c r="BM92" s="167"/>
      <c r="BN92" s="167"/>
    </row>
    <row r="93" spans="62:66" ht="13.5" customHeight="1">
      <c r="BJ93" s="167"/>
      <c r="BK93" s="167"/>
      <c r="BL93" s="167"/>
      <c r="BM93" s="167"/>
      <c r="BN93" s="167"/>
    </row>
    <row r="94" spans="62:66" ht="13.5" customHeight="1">
      <c r="BJ94" s="167"/>
      <c r="BK94" s="167"/>
      <c r="BL94" s="167"/>
      <c r="BM94" s="167"/>
      <c r="BN94" s="167"/>
    </row>
    <row r="95" spans="62:66" ht="13.5" customHeight="1">
      <c r="BJ95" s="167"/>
      <c r="BK95" s="167"/>
      <c r="BL95" s="167"/>
      <c r="BM95" s="167"/>
      <c r="BN95" s="167"/>
    </row>
    <row r="96" spans="62:66" ht="13.5" customHeight="1">
      <c r="BJ96" s="167"/>
      <c r="BK96" s="167"/>
      <c r="BL96" s="167"/>
      <c r="BM96" s="167"/>
      <c r="BN96" s="167"/>
    </row>
    <row r="97" spans="62:66" ht="13.5" customHeight="1">
      <c r="BJ97" s="167"/>
      <c r="BK97" s="167"/>
      <c r="BL97" s="167"/>
      <c r="BM97" s="167"/>
      <c r="BN97" s="167"/>
    </row>
    <row r="98" spans="62:66" ht="13.5" customHeight="1">
      <c r="BJ98" s="167"/>
      <c r="BK98" s="167"/>
      <c r="BL98" s="167"/>
      <c r="BM98" s="167"/>
      <c r="BN98" s="167"/>
    </row>
    <row r="99" spans="62:66" ht="13.5" customHeight="1">
      <c r="BJ99" s="167"/>
      <c r="BK99" s="167"/>
      <c r="BL99" s="167"/>
      <c r="BM99" s="167"/>
      <c r="BN99" s="167"/>
    </row>
    <row r="100" spans="62:66" ht="13.5" customHeight="1">
      <c r="BJ100" s="167"/>
      <c r="BK100" s="167"/>
      <c r="BL100" s="167"/>
      <c r="BM100" s="167"/>
      <c r="BN100" s="167"/>
    </row>
    <row r="101" spans="62:66" ht="13.5" customHeight="1">
      <c r="BJ101" s="167"/>
      <c r="BK101" s="167"/>
      <c r="BL101" s="167"/>
      <c r="BM101" s="167"/>
      <c r="BN101" s="167"/>
    </row>
    <row r="102" spans="62:66" ht="13.5" customHeight="1">
      <c r="BJ102" s="167"/>
      <c r="BK102" s="167"/>
      <c r="BL102" s="167"/>
      <c r="BM102" s="167"/>
      <c r="BN102" s="167"/>
    </row>
    <row r="103" spans="62:66" ht="13.5" customHeight="1">
      <c r="BJ103" s="167"/>
      <c r="BK103" s="167"/>
      <c r="BL103" s="167"/>
      <c r="BM103" s="167"/>
      <c r="BN103" s="167"/>
    </row>
    <row r="104" spans="62:66" ht="13.5" customHeight="1">
      <c r="BJ104" s="167"/>
      <c r="BK104" s="167"/>
      <c r="BL104" s="167"/>
      <c r="BM104" s="167"/>
      <c r="BN104" s="167"/>
    </row>
    <row r="105" spans="62:66" ht="13.5" customHeight="1">
      <c r="BJ105" s="167"/>
      <c r="BK105" s="167"/>
      <c r="BL105" s="167"/>
      <c r="BM105" s="167"/>
      <c r="BN105" s="167"/>
    </row>
    <row r="106" spans="62:66" ht="13.5" customHeight="1">
      <c r="BJ106" s="167"/>
      <c r="BK106" s="167"/>
      <c r="BL106" s="167"/>
      <c r="BM106" s="167"/>
      <c r="BN106" s="167"/>
    </row>
    <row r="107" spans="62:66" ht="13.5" customHeight="1">
      <c r="BJ107" s="167"/>
      <c r="BK107" s="167"/>
      <c r="BL107" s="167"/>
      <c r="BM107" s="167"/>
      <c r="BN107" s="167"/>
    </row>
    <row r="108" spans="62:66" ht="13.5" customHeight="1">
      <c r="BJ108" s="167"/>
      <c r="BK108" s="167"/>
      <c r="BL108" s="167"/>
      <c r="BM108" s="167"/>
      <c r="BN108" s="167"/>
    </row>
    <row r="109" spans="62:66" ht="13.5" customHeight="1">
      <c r="BJ109" s="167"/>
      <c r="BK109" s="167"/>
      <c r="BL109" s="167"/>
      <c r="BM109" s="167"/>
      <c r="BN109" s="167"/>
    </row>
    <row r="110" spans="62:66" ht="13.5" customHeight="1">
      <c r="BJ110" s="167"/>
      <c r="BK110" s="167"/>
      <c r="BL110" s="167"/>
      <c r="BM110" s="167"/>
      <c r="BN110" s="167"/>
    </row>
    <row r="111" spans="62:66" ht="13.5" customHeight="1">
      <c r="BJ111" s="167"/>
      <c r="BK111" s="167"/>
      <c r="BL111" s="167"/>
      <c r="BM111" s="167"/>
      <c r="BN111" s="167"/>
    </row>
    <row r="112" spans="62:66" ht="13.5" customHeight="1">
      <c r="BJ112" s="167"/>
      <c r="BK112" s="167"/>
      <c r="BL112" s="167"/>
      <c r="BM112" s="167"/>
      <c r="BN112" s="167"/>
    </row>
    <row r="113" spans="62:66" ht="13.5" customHeight="1">
      <c r="BJ113" s="167"/>
      <c r="BK113" s="167"/>
      <c r="BL113" s="167"/>
      <c r="BM113" s="167"/>
      <c r="BN113" s="167"/>
    </row>
    <row r="114" spans="62:66" ht="13.5" customHeight="1">
      <c r="BJ114" s="167"/>
      <c r="BK114" s="167"/>
      <c r="BL114" s="167"/>
      <c r="BM114" s="167"/>
      <c r="BN114" s="167"/>
    </row>
    <row r="115" spans="62:66" ht="13.5" customHeight="1">
      <c r="BJ115" s="167"/>
      <c r="BK115" s="167"/>
      <c r="BL115" s="167"/>
      <c r="BM115" s="167"/>
      <c r="BN115" s="167"/>
    </row>
    <row r="116" spans="62:66" ht="13.5" customHeight="1">
      <c r="BJ116" s="167"/>
      <c r="BK116" s="167"/>
      <c r="BL116" s="167"/>
      <c r="BM116" s="167"/>
      <c r="BN116" s="167"/>
    </row>
    <row r="117" spans="62:66" ht="13.5" customHeight="1">
      <c r="BJ117" s="167"/>
      <c r="BK117" s="167"/>
      <c r="BL117" s="167"/>
      <c r="BM117" s="167"/>
      <c r="BN117" s="167"/>
    </row>
    <row r="118" spans="62:66" ht="13.5" customHeight="1">
      <c r="BJ118" s="167"/>
      <c r="BK118" s="167"/>
      <c r="BL118" s="167"/>
      <c r="BM118" s="167"/>
      <c r="BN118" s="167"/>
    </row>
    <row r="119" spans="62:66" ht="13.5" customHeight="1">
      <c r="BJ119" s="167"/>
      <c r="BK119" s="167"/>
      <c r="BL119" s="167"/>
      <c r="BM119" s="167"/>
      <c r="BN119" s="167"/>
    </row>
    <row r="120" spans="62:66" ht="13.5" customHeight="1">
      <c r="BJ120" s="167"/>
      <c r="BK120" s="167"/>
      <c r="BL120" s="167"/>
      <c r="BM120" s="167"/>
      <c r="BN120" s="167"/>
    </row>
    <row r="121" spans="62:66" ht="13.5" customHeight="1">
      <c r="BJ121" s="167"/>
      <c r="BK121" s="167"/>
      <c r="BL121" s="167"/>
      <c r="BM121" s="167"/>
      <c r="BN121" s="167"/>
    </row>
    <row r="122" spans="62:66" ht="13.5" customHeight="1">
      <c r="BJ122" s="167"/>
      <c r="BK122" s="167"/>
      <c r="BL122" s="167"/>
      <c r="BM122" s="167"/>
      <c r="BN122" s="167"/>
    </row>
    <row r="123" spans="62:66" ht="13.5" customHeight="1">
      <c r="BJ123" s="167"/>
      <c r="BK123" s="167"/>
      <c r="BL123" s="167"/>
      <c r="BM123" s="167"/>
      <c r="BN123" s="167"/>
    </row>
    <row r="124" spans="62:66" ht="13.5" customHeight="1">
      <c r="BJ124" s="167"/>
      <c r="BK124" s="167"/>
      <c r="BL124" s="167"/>
      <c r="BM124" s="167"/>
      <c r="BN124" s="167"/>
    </row>
    <row r="125" spans="62:66" ht="13.5" customHeight="1">
      <c r="BJ125" s="167"/>
      <c r="BK125" s="167"/>
      <c r="BL125" s="167"/>
      <c r="BM125" s="167"/>
      <c r="BN125" s="167"/>
    </row>
    <row r="126" spans="62:66" ht="13.5" customHeight="1">
      <c r="BJ126" s="167"/>
      <c r="BK126" s="167"/>
      <c r="BL126" s="167"/>
      <c r="BM126" s="167"/>
      <c r="BN126" s="167"/>
    </row>
    <row r="127" spans="62:66" ht="13.5" customHeight="1">
      <c r="BJ127" s="167"/>
      <c r="BK127" s="167"/>
      <c r="BL127" s="167"/>
      <c r="BM127" s="167"/>
      <c r="BN127" s="167"/>
    </row>
    <row r="128" spans="62:66" ht="13.5" customHeight="1">
      <c r="BJ128" s="167"/>
      <c r="BK128" s="167"/>
      <c r="BL128" s="167"/>
      <c r="BM128" s="167"/>
      <c r="BN128" s="167"/>
    </row>
    <row r="129" spans="62:66" ht="13.5" customHeight="1">
      <c r="BJ129" s="167"/>
      <c r="BK129" s="167"/>
      <c r="BL129" s="167"/>
      <c r="BM129" s="167"/>
      <c r="BN129" s="167"/>
    </row>
    <row r="130" spans="62:66" ht="13.5" customHeight="1">
      <c r="BJ130" s="167"/>
      <c r="BK130" s="167"/>
      <c r="BL130" s="167"/>
      <c r="BM130" s="167"/>
      <c r="BN130" s="167"/>
    </row>
    <row r="131" spans="62:66" ht="13.5" customHeight="1">
      <c r="BJ131" s="167"/>
      <c r="BK131" s="167"/>
      <c r="BL131" s="167"/>
      <c r="BM131" s="167"/>
      <c r="BN131" s="167"/>
    </row>
    <row r="132" spans="62:66" ht="13.5" customHeight="1">
      <c r="BJ132" s="167"/>
      <c r="BK132" s="167"/>
      <c r="BL132" s="167"/>
      <c r="BM132" s="167"/>
      <c r="BN132" s="167"/>
    </row>
    <row r="133" spans="62:66" ht="13.5" customHeight="1">
      <c r="BJ133" s="167"/>
      <c r="BK133" s="167"/>
      <c r="BL133" s="167"/>
      <c r="BM133" s="167"/>
      <c r="BN133" s="167"/>
    </row>
    <row r="134" spans="62:66" ht="13.5" customHeight="1">
      <c r="BJ134" s="167"/>
      <c r="BK134" s="167"/>
      <c r="BL134" s="167"/>
      <c r="BM134" s="167"/>
      <c r="BN134" s="167"/>
    </row>
    <row r="135" spans="62:66" ht="13.5" customHeight="1">
      <c r="BJ135" s="167"/>
      <c r="BK135" s="167"/>
      <c r="BL135" s="167"/>
      <c r="BM135" s="167"/>
      <c r="BN135" s="167"/>
    </row>
    <row r="136" spans="62:66" ht="13.5" customHeight="1">
      <c r="BJ136" s="167"/>
      <c r="BK136" s="167"/>
      <c r="BL136" s="167"/>
      <c r="BM136" s="167"/>
      <c r="BN136" s="167"/>
    </row>
    <row r="137" spans="62:66" ht="13.5" customHeight="1">
      <c r="BJ137" s="167"/>
      <c r="BK137" s="167"/>
      <c r="BL137" s="167"/>
      <c r="BM137" s="167"/>
      <c r="BN137" s="167"/>
    </row>
    <row r="138" spans="62:66" ht="13.5" customHeight="1">
      <c r="BJ138" s="167"/>
      <c r="BK138" s="167"/>
      <c r="BL138" s="167"/>
      <c r="BM138" s="167"/>
      <c r="BN138" s="167"/>
    </row>
    <row r="139" spans="62:66" ht="13.5" customHeight="1">
      <c r="BJ139" s="167"/>
      <c r="BK139" s="167"/>
      <c r="BL139" s="167"/>
      <c r="BM139" s="167"/>
      <c r="BN139" s="167"/>
    </row>
    <row r="140" spans="62:66" ht="13.5" customHeight="1">
      <c r="BJ140" s="167"/>
      <c r="BK140" s="167"/>
      <c r="BL140" s="167"/>
      <c r="BM140" s="167"/>
      <c r="BN140" s="167"/>
    </row>
    <row r="141" spans="62:66" ht="13.9">
      <c r="BJ141" s="167"/>
      <c r="BK141" s="167"/>
      <c r="BL141" s="167"/>
      <c r="BM141" s="167"/>
      <c r="BN141" s="167"/>
    </row>
    <row r="142" spans="62:66" ht="13.9">
      <c r="BJ142" s="167"/>
      <c r="BK142" s="167"/>
      <c r="BL142" s="167"/>
      <c r="BM142" s="167"/>
      <c r="BN142" s="167"/>
    </row>
    <row r="143" spans="62:66" ht="13.9">
      <c r="BJ143" s="167"/>
      <c r="BK143" s="167"/>
      <c r="BL143" s="167"/>
      <c r="BM143" s="167"/>
      <c r="BN143" s="167"/>
    </row>
    <row r="144" spans="62:66" ht="13.5" customHeight="1">
      <c r="BJ144" s="167"/>
      <c r="BK144" s="167"/>
      <c r="BL144" s="167"/>
      <c r="BM144" s="167"/>
      <c r="BN144" s="167"/>
    </row>
    <row r="145" spans="62:66" ht="13.5" customHeight="1">
      <c r="BJ145" s="167"/>
      <c r="BK145" s="167"/>
      <c r="BL145" s="167"/>
      <c r="BM145" s="167"/>
      <c r="BN145" s="167"/>
    </row>
    <row r="146" spans="62:66" ht="13.5" customHeight="1">
      <c r="BJ146" s="167"/>
      <c r="BK146" s="167"/>
      <c r="BL146" s="167"/>
      <c r="BM146" s="167"/>
      <c r="BN146" s="167"/>
    </row>
    <row r="147" spans="62:66" ht="13.5" customHeight="1">
      <c r="BJ147" s="167"/>
      <c r="BK147" s="167"/>
      <c r="BL147" s="167"/>
      <c r="BM147" s="167"/>
      <c r="BN147" s="167"/>
    </row>
    <row r="148" spans="62:66" ht="13.5" customHeight="1">
      <c r="BJ148" s="167"/>
      <c r="BK148" s="167"/>
      <c r="BL148" s="167"/>
      <c r="BM148" s="167"/>
      <c r="BN148" s="167"/>
    </row>
    <row r="149" spans="62:66" ht="13.5" customHeight="1">
      <c r="BJ149" s="167"/>
      <c r="BK149" s="167"/>
      <c r="BL149" s="167"/>
      <c r="BM149" s="167"/>
      <c r="BN149" s="167"/>
    </row>
    <row r="150" spans="62:66" ht="13.5" customHeight="1">
      <c r="BJ150" s="167"/>
      <c r="BK150" s="167"/>
      <c r="BL150" s="167"/>
      <c r="BM150" s="167"/>
      <c r="BN150" s="167"/>
    </row>
    <row r="151" spans="62:66" ht="13.5" customHeight="1">
      <c r="BJ151" s="167"/>
      <c r="BK151" s="167"/>
      <c r="BL151" s="167"/>
      <c r="BM151" s="167"/>
      <c r="BN151" s="167"/>
    </row>
    <row r="152" spans="62:66" ht="13.5" customHeight="1">
      <c r="BJ152" s="167"/>
      <c r="BK152" s="167"/>
      <c r="BL152" s="167"/>
      <c r="BM152" s="167"/>
      <c r="BN152" s="167"/>
    </row>
    <row r="153" spans="62:66" ht="13.5" customHeight="1">
      <c r="BJ153" s="167"/>
      <c r="BK153" s="167"/>
      <c r="BL153" s="167"/>
      <c r="BM153" s="167"/>
      <c r="BN153" s="167"/>
    </row>
    <row r="154" spans="62:66" ht="13.5" customHeight="1">
      <c r="BJ154" s="167"/>
      <c r="BK154" s="167"/>
      <c r="BL154" s="167"/>
      <c r="BM154" s="167"/>
      <c r="BN154" s="167"/>
    </row>
    <row r="155" spans="62:66" ht="13.5" customHeight="1">
      <c r="BJ155" s="167"/>
      <c r="BK155" s="167"/>
      <c r="BL155" s="167"/>
      <c r="BM155" s="167"/>
      <c r="BN155" s="167"/>
    </row>
    <row r="156" spans="62:66" ht="13.5" customHeight="1">
      <c r="BJ156" s="167"/>
      <c r="BK156" s="167"/>
      <c r="BL156" s="167"/>
      <c r="BM156" s="167"/>
      <c r="BN156" s="167"/>
    </row>
    <row r="157" spans="62:66" ht="13.5" customHeight="1">
      <c r="BJ157" s="167"/>
      <c r="BK157" s="167"/>
      <c r="BL157" s="167"/>
      <c r="BM157" s="167"/>
      <c r="BN157" s="167"/>
    </row>
    <row r="158" spans="62:66" ht="13.5" customHeight="1">
      <c r="BJ158" s="167"/>
      <c r="BK158" s="167"/>
      <c r="BL158" s="167"/>
      <c r="BM158" s="167"/>
      <c r="BN158" s="167"/>
    </row>
    <row r="159" spans="62:66" ht="13.5" customHeight="1">
      <c r="BJ159" s="167"/>
      <c r="BK159" s="167"/>
      <c r="BL159" s="167"/>
      <c r="BM159" s="167"/>
      <c r="BN159" s="167"/>
    </row>
    <row r="160" spans="62:66" ht="13.5" customHeight="1">
      <c r="BJ160" s="167"/>
      <c r="BK160" s="167"/>
      <c r="BL160" s="167"/>
      <c r="BM160" s="167"/>
      <c r="BN160" s="167"/>
    </row>
    <row r="161" spans="52:66" ht="13.5" customHeight="1">
      <c r="BJ161" s="167"/>
      <c r="BK161" s="167"/>
      <c r="BL161" s="167"/>
      <c r="BM161" s="167"/>
      <c r="BN161" s="167"/>
    </row>
    <row r="162" spans="52:66" ht="13.5" customHeight="1">
      <c r="BJ162" s="167"/>
      <c r="BK162" s="167"/>
      <c r="BL162" s="167"/>
      <c r="BM162" s="167"/>
      <c r="BN162" s="167"/>
    </row>
    <row r="163" spans="52:66" ht="13.5" customHeight="1">
      <c r="BJ163" s="167"/>
      <c r="BK163" s="167"/>
      <c r="BL163" s="167"/>
      <c r="BM163" s="167"/>
      <c r="BN163" s="167"/>
    </row>
    <row r="164" spans="52:66" ht="13.5" customHeight="1">
      <c r="BJ164" s="167"/>
      <c r="BK164" s="167"/>
      <c r="BL164" s="167"/>
      <c r="BM164" s="167"/>
      <c r="BN164" s="167"/>
    </row>
    <row r="165" spans="52:66" ht="13.5" customHeight="1">
      <c r="BJ165" s="167"/>
      <c r="BK165" s="167"/>
      <c r="BL165" s="167"/>
      <c r="BM165" s="167"/>
      <c r="BN165" s="167"/>
    </row>
    <row r="166" spans="52:66" ht="13.5" customHeight="1">
      <c r="BJ166" s="167"/>
      <c r="BK166" s="167"/>
      <c r="BL166" s="167"/>
      <c r="BM166" s="167"/>
      <c r="BN166" s="167"/>
    </row>
    <row r="167" spans="52:66" ht="13.5" customHeight="1">
      <c r="BJ167" s="167"/>
      <c r="BK167" s="167"/>
      <c r="BL167" s="167"/>
      <c r="BM167" s="167"/>
      <c r="BN167" s="167"/>
    </row>
    <row r="168" spans="52:66" ht="13.5" customHeight="1">
      <c r="BJ168" s="167"/>
      <c r="BK168" s="167"/>
      <c r="BL168" s="167"/>
      <c r="BM168" s="167"/>
      <c r="BN168" s="167"/>
    </row>
    <row r="169" spans="52:66" ht="13.5" customHeight="1">
      <c r="AZ169" s="167" t="s">
        <v>1444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81" priority="10" operator="equal">
      <formula>0</formula>
    </cfRule>
  </conditionalFormatting>
  <conditionalFormatting sqref="J1:N1 I3:T3 C3:G4 U3:AD7 AC3:AD10 AQ3:AQ10 I4:O7 P4:T35 C6:G7 I9:N9 D10:N25">
    <cfRule type="cellIs" dxfId="80" priority="3" operator="equal">
      <formula>0</formula>
    </cfRule>
  </conditionalFormatting>
  <conditionalFormatting sqref="AG3:AG10">
    <cfRule type="cellIs" dxfId="79" priority="8" operator="equal">
      <formula>0</formula>
    </cfRule>
  </conditionalFormatting>
  <conditionalFormatting sqref="AJ3:AJ10">
    <cfRule type="cellIs" dxfId="78" priority="7" operator="equal">
      <formula>0</formula>
    </cfRule>
  </conditionalFormatting>
  <conditionalFormatting sqref="AS3">
    <cfRule type="cellIs" dxfId="77" priority="5" operator="equal">
      <formula>0</formula>
    </cfRule>
  </conditionalFormatting>
  <conditionalFormatting sqref="AV3">
    <cfRule type="cellIs" dxfId="76" priority="4" operator="equal">
      <formula>0</formula>
    </cfRule>
  </conditionalFormatting>
  <conditionalFormatting sqref="BD3:BH3 BD4:BE7 BG4:BH7 BF4:BF10">
    <cfRule type="cellIs" dxfId="75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dimension ref="A1:Q76"/>
  <sheetViews>
    <sheetView topLeftCell="A33" workbookViewId="0">
      <selection activeCell="H68" sqref="H68"/>
    </sheetView>
  </sheetViews>
  <sheetFormatPr defaultColWidth="8.85546875" defaultRowHeight="13.9"/>
  <cols>
    <col min="1" max="1" width="22.140625" style="133" bestFit="1" customWidth="1"/>
    <col min="2" max="2" width="15" style="133" bestFit="1" customWidth="1"/>
    <col min="3" max="3" width="14" style="133" bestFit="1" customWidth="1"/>
    <col min="4" max="4" width="11.85546875" style="133" bestFit="1" customWidth="1"/>
    <col min="5" max="5" width="12.7109375" style="133" bestFit="1" customWidth="1"/>
    <col min="6" max="6" width="13.28515625" style="133" bestFit="1" customWidth="1"/>
    <col min="7" max="7" width="23.5703125" style="133" bestFit="1" customWidth="1"/>
    <col min="8" max="8" width="14.28515625" style="133" bestFit="1" customWidth="1"/>
    <col min="9" max="9" width="5" style="133" bestFit="1" customWidth="1"/>
    <col min="10" max="10" width="18" style="133" bestFit="1" customWidth="1"/>
    <col min="11" max="12" width="11.28515625" style="133" bestFit="1" customWidth="1"/>
    <col min="13" max="13" width="9.140625" style="133" bestFit="1" customWidth="1"/>
    <col min="14" max="14" width="5" style="133" bestFit="1" customWidth="1"/>
    <col min="15" max="15" width="9" style="133" bestFit="1" customWidth="1"/>
    <col min="16" max="16" width="8.7109375" style="133" bestFit="1" customWidth="1"/>
    <col min="17" max="17" width="15.5703125" style="133" bestFit="1" customWidth="1"/>
    <col min="18" max="16384" width="8.85546875" style="133"/>
  </cols>
  <sheetData>
    <row r="1" spans="1:17" ht="25.9">
      <c r="A1" s="270" t="s">
        <v>1445</v>
      </c>
      <c r="B1" s="270"/>
      <c r="C1" s="270"/>
      <c r="D1" s="270"/>
      <c r="E1" s="270"/>
      <c r="F1" s="270"/>
      <c r="G1" s="270"/>
    </row>
    <row r="3" spans="1:17">
      <c r="A3" s="244" t="s">
        <v>136</v>
      </c>
      <c r="B3" s="133" t="s">
        <v>1446</v>
      </c>
      <c r="C3" s="245" t="s">
        <v>1447</v>
      </c>
    </row>
    <row r="4" spans="1:17">
      <c r="K4" s="252" t="s">
        <v>136</v>
      </c>
      <c r="L4" s="156" t="s">
        <v>1446</v>
      </c>
      <c r="M4" s="245" t="s">
        <v>1448</v>
      </c>
    </row>
    <row r="5" spans="1:17">
      <c r="B5" s="244" t="s">
        <v>1444</v>
      </c>
      <c r="H5" s="246"/>
      <c r="I5" s="246"/>
    </row>
    <row r="6" spans="1:17">
      <c r="A6" s="244" t="s">
        <v>1449</v>
      </c>
      <c r="B6" s="133" t="s">
        <v>341</v>
      </c>
      <c r="C6" s="133" t="s">
        <v>182</v>
      </c>
      <c r="D6" s="133" t="s">
        <v>330</v>
      </c>
      <c r="E6" s="133" t="s">
        <v>179</v>
      </c>
      <c r="F6" s="133" t="s">
        <v>196</v>
      </c>
      <c r="G6" s="133" t="s">
        <v>159</v>
      </c>
      <c r="H6" s="246"/>
      <c r="I6" s="246"/>
      <c r="K6" s="252" t="s">
        <v>1450</v>
      </c>
      <c r="L6" s="156" t="s">
        <v>419</v>
      </c>
      <c r="M6" s="156" t="s">
        <v>1411</v>
      </c>
      <c r="N6" s="156" t="s">
        <v>1451</v>
      </c>
      <c r="O6" s="253" t="s">
        <v>1408</v>
      </c>
      <c r="P6" s="253" t="s">
        <v>1429</v>
      </c>
      <c r="Q6" s="253" t="s">
        <v>1419</v>
      </c>
    </row>
    <row r="7" spans="1:17">
      <c r="A7" s="133" t="s">
        <v>1452</v>
      </c>
      <c r="B7" s="247"/>
      <c r="C7" s="247">
        <v>1077.7777777777778</v>
      </c>
      <c r="D7" s="247">
        <v>1122</v>
      </c>
      <c r="E7" s="247">
        <v>371.42857142857144</v>
      </c>
      <c r="F7" s="247">
        <v>1056</v>
      </c>
      <c r="G7" s="247">
        <v>1098.5</v>
      </c>
      <c r="H7" s="246"/>
      <c r="I7" s="246"/>
      <c r="K7" s="156" t="s">
        <v>189</v>
      </c>
      <c r="L7" s="247">
        <v>15228</v>
      </c>
      <c r="M7" s="248">
        <v>15</v>
      </c>
      <c r="N7" s="248">
        <v>2538</v>
      </c>
      <c r="O7" s="254">
        <f>L7/N7</f>
        <v>6</v>
      </c>
      <c r="P7" s="255">
        <f>IFERROR((N7*1.5)/1440, "?")</f>
        <v>2.6437499999999998</v>
      </c>
      <c r="Q7" s="256">
        <f>IFERROR((P7*24)/(M7*8),0)</f>
        <v>0.52874999999999994</v>
      </c>
    </row>
    <row r="8" spans="1:17">
      <c r="A8" s="133" t="s">
        <v>1453</v>
      </c>
      <c r="B8" s="247">
        <v>300</v>
      </c>
      <c r="C8" s="247">
        <v>1390</v>
      </c>
      <c r="D8" s="247">
        <v>2000</v>
      </c>
      <c r="E8" s="247">
        <v>670</v>
      </c>
      <c r="F8" s="247">
        <v>9600</v>
      </c>
      <c r="G8" s="247">
        <v>1122.8999999999999</v>
      </c>
      <c r="H8" s="246"/>
      <c r="I8" s="246"/>
      <c r="K8" s="156" t="s">
        <v>208</v>
      </c>
      <c r="L8" s="247">
        <v>13966</v>
      </c>
      <c r="M8" s="248">
        <v>12</v>
      </c>
      <c r="N8" s="248">
        <v>2961</v>
      </c>
      <c r="O8" s="254">
        <f>L8/N8</f>
        <v>4.7166497804795675</v>
      </c>
      <c r="P8" s="255">
        <f>IFERROR((N8*1.5)/1440, "?")</f>
        <v>3.0843750000000001</v>
      </c>
      <c r="Q8" s="256">
        <f>IFERROR((P8*24)/(M8*8),0)</f>
        <v>0.77109375000000002</v>
      </c>
    </row>
    <row r="9" spans="1:17">
      <c r="A9" s="133" t="s">
        <v>1454</v>
      </c>
      <c r="B9" s="247"/>
      <c r="C9" s="248">
        <v>9</v>
      </c>
      <c r="D9" s="248">
        <v>1</v>
      </c>
      <c r="E9" s="248">
        <v>7</v>
      </c>
      <c r="F9" s="248">
        <v>2</v>
      </c>
      <c r="G9" s="248">
        <v>36</v>
      </c>
      <c r="H9" s="246"/>
      <c r="I9" s="246"/>
    </row>
    <row r="10" spans="1:17">
      <c r="A10" s="133" t="s">
        <v>1455</v>
      </c>
      <c r="B10" s="248">
        <v>2</v>
      </c>
      <c r="C10" s="248">
        <v>5</v>
      </c>
      <c r="D10" s="248">
        <v>1</v>
      </c>
      <c r="E10" s="248">
        <v>5</v>
      </c>
      <c r="F10" s="248">
        <v>1</v>
      </c>
      <c r="G10" s="248">
        <v>17</v>
      </c>
    </row>
    <row r="11" spans="1:17">
      <c r="A11" s="249" t="s">
        <v>1449</v>
      </c>
      <c r="B11" s="249" t="s">
        <v>341</v>
      </c>
      <c r="C11" s="249" t="s">
        <v>182</v>
      </c>
      <c r="D11" s="249" t="s">
        <v>330</v>
      </c>
      <c r="E11" s="249" t="s">
        <v>179</v>
      </c>
      <c r="F11" s="249" t="s">
        <v>196</v>
      </c>
      <c r="G11" s="249" t="s">
        <v>159</v>
      </c>
    </row>
    <row r="12" spans="1:17">
      <c r="A12" s="250" t="s">
        <v>1456</v>
      </c>
      <c r="B12" s="251">
        <v>0</v>
      </c>
      <c r="C12" s="251">
        <v>2200</v>
      </c>
      <c r="D12" s="251">
        <v>1850</v>
      </c>
      <c r="E12" s="251">
        <v>800</v>
      </c>
      <c r="F12" s="251">
        <v>2000</v>
      </c>
      <c r="G12" s="251">
        <v>1500</v>
      </c>
    </row>
    <row r="13" spans="1:17">
      <c r="A13" s="250" t="s">
        <v>1457</v>
      </c>
      <c r="B13" s="251">
        <f>IFERROR((B7*B9 + B8*B10) / (B9 + B10), "")</f>
        <v>300</v>
      </c>
      <c r="C13" s="251">
        <f t="shared" ref="C13:G13" si="0">IFERROR((C7*C9 + C8*C10) / (C9 + C10), "")</f>
        <v>1189.2857142857142</v>
      </c>
      <c r="D13" s="251">
        <f t="shared" si="0"/>
        <v>1561</v>
      </c>
      <c r="E13" s="251">
        <f t="shared" si="0"/>
        <v>495.83333333333331</v>
      </c>
      <c r="F13" s="251">
        <f t="shared" si="0"/>
        <v>3904</v>
      </c>
      <c r="G13" s="251">
        <f t="shared" si="0"/>
        <v>1106.3264150943396</v>
      </c>
    </row>
    <row r="15" spans="1:17">
      <c r="A15" s="244" t="s">
        <v>136</v>
      </c>
      <c r="B15" s="133" t="s">
        <v>1446</v>
      </c>
      <c r="C15" s="245" t="s">
        <v>1458</v>
      </c>
    </row>
    <row r="17" spans="1:13">
      <c r="B17" s="244" t="s">
        <v>1444</v>
      </c>
    </row>
    <row r="18" spans="1:13">
      <c r="A18" s="244" t="s">
        <v>1449</v>
      </c>
      <c r="B18" s="133" t="s">
        <v>341</v>
      </c>
      <c r="C18" s="133" t="s">
        <v>182</v>
      </c>
      <c r="D18" s="133" t="s">
        <v>330</v>
      </c>
      <c r="E18" s="133" t="s">
        <v>179</v>
      </c>
      <c r="F18" s="133" t="s">
        <v>196</v>
      </c>
      <c r="G18" s="133" t="s">
        <v>159</v>
      </c>
    </row>
    <row r="19" spans="1:13">
      <c r="A19" s="133" t="s">
        <v>1459</v>
      </c>
      <c r="B19" s="247"/>
      <c r="C19" s="247">
        <v>9700</v>
      </c>
      <c r="D19" s="247">
        <v>1122</v>
      </c>
      <c r="E19" s="247">
        <v>2600</v>
      </c>
      <c r="F19" s="247">
        <v>2112</v>
      </c>
      <c r="G19" s="247">
        <v>39546</v>
      </c>
    </row>
    <row r="20" spans="1:13">
      <c r="A20" s="133" t="s">
        <v>1460</v>
      </c>
      <c r="B20" s="247">
        <v>600</v>
      </c>
      <c r="C20" s="247">
        <v>6950</v>
      </c>
      <c r="D20" s="247">
        <v>2000</v>
      </c>
      <c r="E20" s="247">
        <v>3350</v>
      </c>
      <c r="F20" s="247">
        <v>9600</v>
      </c>
      <c r="G20" s="247">
        <v>19089.3</v>
      </c>
    </row>
    <row r="21" spans="1:13">
      <c r="A21" s="133" t="s">
        <v>1461</v>
      </c>
      <c r="B21" s="248">
        <v>2</v>
      </c>
      <c r="C21" s="248">
        <v>15</v>
      </c>
      <c r="D21" s="248">
        <v>2</v>
      </c>
      <c r="E21" s="248">
        <v>12</v>
      </c>
      <c r="F21" s="248">
        <v>3</v>
      </c>
      <c r="G21" s="248">
        <v>55</v>
      </c>
    </row>
    <row r="22" spans="1:13">
      <c r="A22" s="246"/>
      <c r="B22" s="246"/>
      <c r="C22" s="246"/>
      <c r="D22" s="246"/>
      <c r="E22" s="246"/>
      <c r="F22" s="246"/>
      <c r="G22" s="246"/>
    </row>
    <row r="23" spans="1:13">
      <c r="A23" s="252" t="s">
        <v>136</v>
      </c>
      <c r="B23" s="156" t="s">
        <v>1446</v>
      </c>
      <c r="C23" s="245" t="s">
        <v>1462</v>
      </c>
    </row>
    <row r="25" spans="1:13">
      <c r="A25" s="252" t="s">
        <v>1442</v>
      </c>
      <c r="B25" s="156" t="s">
        <v>30</v>
      </c>
      <c r="C25" s="156" t="s">
        <v>1463</v>
      </c>
      <c r="D25" s="156" t="s">
        <v>1464</v>
      </c>
      <c r="E25" s="253" t="s">
        <v>1408</v>
      </c>
    </row>
    <row r="26" spans="1:13">
      <c r="A26" s="156" t="s">
        <v>314</v>
      </c>
      <c r="B26" s="247">
        <v>5400</v>
      </c>
      <c r="C26" s="248">
        <v>2</v>
      </c>
      <c r="D26" s="248">
        <v>956</v>
      </c>
      <c r="E26" s="254">
        <f>B26/D26</f>
        <v>5.6485355648535567</v>
      </c>
    </row>
    <row r="27" spans="1:13">
      <c r="A27" s="156" t="s">
        <v>183</v>
      </c>
      <c r="B27" s="247">
        <v>910</v>
      </c>
      <c r="C27" s="248">
        <v>1</v>
      </c>
      <c r="D27" s="248">
        <v>70</v>
      </c>
      <c r="E27" s="254">
        <f>B27/D27</f>
        <v>13</v>
      </c>
    </row>
    <row r="28" spans="1:13">
      <c r="A28" s="156" t="s">
        <v>202</v>
      </c>
      <c r="B28" s="247">
        <v>2270</v>
      </c>
      <c r="C28" s="248">
        <v>2</v>
      </c>
      <c r="D28" s="248">
        <v>315</v>
      </c>
      <c r="E28" s="254">
        <f t="shared" ref="E28:E33" si="1">B28/D28</f>
        <v>7.2063492063492065</v>
      </c>
      <c r="F28" s="246"/>
      <c r="G28" s="246"/>
      <c r="H28" s="246"/>
      <c r="I28" s="246"/>
      <c r="J28" s="246"/>
      <c r="K28" s="246"/>
      <c r="L28" s="246"/>
      <c r="M28" s="246"/>
    </row>
    <row r="29" spans="1:13">
      <c r="A29" s="156" t="s">
        <v>168</v>
      </c>
      <c r="B29" s="247">
        <v>12051.3</v>
      </c>
      <c r="C29" s="248">
        <v>10</v>
      </c>
      <c r="D29" s="248">
        <v>1914</v>
      </c>
      <c r="E29" s="254">
        <f t="shared" si="1"/>
        <v>6.2963949843260183</v>
      </c>
      <c r="F29" s="246"/>
      <c r="G29" s="246"/>
      <c r="H29" s="246"/>
      <c r="I29" s="246"/>
      <c r="J29" s="246"/>
      <c r="K29" s="246"/>
      <c r="L29" s="246"/>
      <c r="M29" s="246"/>
    </row>
    <row r="30" spans="1:13">
      <c r="A30" s="156" t="s">
        <v>298</v>
      </c>
      <c r="B30" s="247">
        <v>1328</v>
      </c>
      <c r="C30" s="248">
        <v>1</v>
      </c>
      <c r="D30" s="248">
        <v>166</v>
      </c>
      <c r="E30" s="254">
        <f t="shared" si="1"/>
        <v>8</v>
      </c>
      <c r="F30" s="246"/>
      <c r="G30" s="246"/>
      <c r="H30" s="246"/>
      <c r="I30" s="246"/>
    </row>
    <row r="31" spans="1:13">
      <c r="A31" s="156" t="s">
        <v>149</v>
      </c>
      <c r="B31" s="247">
        <v>2830</v>
      </c>
      <c r="C31" s="248">
        <v>7</v>
      </c>
      <c r="D31" s="248">
        <v>748</v>
      </c>
      <c r="E31" s="254">
        <f t="shared" si="1"/>
        <v>3.7834224598930479</v>
      </c>
      <c r="F31" s="246"/>
      <c r="G31" s="246"/>
      <c r="H31" s="246"/>
      <c r="I31" s="246"/>
    </row>
    <row r="32" spans="1:13">
      <c r="A32" s="156" t="s">
        <v>323</v>
      </c>
      <c r="B32" s="247">
        <v>9600</v>
      </c>
      <c r="C32" s="248">
        <v>1</v>
      </c>
      <c r="D32" s="248">
        <v>733</v>
      </c>
      <c r="E32" s="254">
        <f t="shared" si="1"/>
        <v>13.096862210095498</v>
      </c>
      <c r="F32" s="246"/>
      <c r="G32" s="246"/>
      <c r="H32" s="246"/>
      <c r="I32" s="246"/>
    </row>
    <row r="33" spans="1:9">
      <c r="A33" s="156" t="s">
        <v>284</v>
      </c>
      <c r="B33" s="247">
        <v>7200</v>
      </c>
      <c r="C33" s="248">
        <v>10</v>
      </c>
      <c r="D33" s="248">
        <v>1374</v>
      </c>
      <c r="E33" s="254">
        <f t="shared" si="1"/>
        <v>5.2401746724890828</v>
      </c>
      <c r="F33" s="246"/>
      <c r="G33" s="246"/>
      <c r="H33" s="246"/>
      <c r="I33" s="246"/>
    </row>
    <row r="34" spans="1:9">
      <c r="A34" s="246"/>
      <c r="B34" s="246"/>
      <c r="C34" s="246"/>
      <c r="D34" s="246"/>
      <c r="E34" s="246"/>
      <c r="F34" s="246"/>
      <c r="G34" s="246"/>
      <c r="H34" s="246"/>
      <c r="I34" s="246"/>
    </row>
    <row r="35" spans="1:9">
      <c r="H35" s="246"/>
      <c r="I35" s="246"/>
    </row>
    <row r="36" spans="1:9">
      <c r="H36" s="246"/>
      <c r="I36" s="246"/>
    </row>
    <row r="37" spans="1:9">
      <c r="H37" s="246"/>
      <c r="I37" s="246"/>
    </row>
    <row r="40" spans="1:9" ht="14.45">
      <c r="A40" s="242" t="s">
        <v>415</v>
      </c>
      <c r="B40" t="s">
        <v>1446</v>
      </c>
      <c r="C40" s="246"/>
      <c r="D40" s="242" t="s">
        <v>415</v>
      </c>
      <c r="E40" t="s">
        <v>1446</v>
      </c>
      <c r="G40" s="242" t="s">
        <v>415</v>
      </c>
      <c r="H40" t="s">
        <v>1446</v>
      </c>
    </row>
    <row r="41" spans="1:9" ht="14.45">
      <c r="A41" s="242" t="s">
        <v>142</v>
      </c>
      <c r="B41" t="s">
        <v>506</v>
      </c>
      <c r="C41"/>
      <c r="D41" s="242" t="s">
        <v>142</v>
      </c>
      <c r="E41" t="s">
        <v>452</v>
      </c>
      <c r="G41" s="242" t="s">
        <v>142</v>
      </c>
      <c r="H41" t="s">
        <v>440</v>
      </c>
    </row>
    <row r="42" spans="1:9" ht="14.45">
      <c r="B42" s="258" t="s">
        <v>1465</v>
      </c>
      <c r="C42"/>
      <c r="E42" s="258" t="s">
        <v>1466</v>
      </c>
      <c r="H42" s="258" t="s">
        <v>1467</v>
      </c>
    </row>
    <row r="43" spans="1:9" ht="14.45">
      <c r="A43" s="242" t="s">
        <v>1468</v>
      </c>
      <c r="B43" s="257" t="s">
        <v>1469</v>
      </c>
      <c r="C43"/>
      <c r="D43" s="242" t="s">
        <v>480</v>
      </c>
      <c r="E43" s="257" t="s">
        <v>1469</v>
      </c>
      <c r="G43" s="242" t="s">
        <v>1470</v>
      </c>
      <c r="H43" s="257" t="s">
        <v>1469</v>
      </c>
    </row>
    <row r="44" spans="1:9" ht="14.45">
      <c r="A44" s="243" t="s">
        <v>205</v>
      </c>
      <c r="B44" s="257">
        <v>2745</v>
      </c>
      <c r="C44"/>
      <c r="D44" s="243" t="s">
        <v>426</v>
      </c>
      <c r="E44" s="257">
        <v>9345.619999999999</v>
      </c>
      <c r="G44" s="243" t="s">
        <v>426</v>
      </c>
      <c r="H44" s="257">
        <v>7231.9999999999991</v>
      </c>
    </row>
    <row r="45" spans="1:9" ht="14.45">
      <c r="A45" s="243" t="s">
        <v>153</v>
      </c>
      <c r="B45" s="257">
        <v>1262</v>
      </c>
      <c r="C45"/>
      <c r="D45" s="243" t="s">
        <v>307</v>
      </c>
      <c r="E45" s="257">
        <v>4770</v>
      </c>
      <c r="G45" s="243" t="s">
        <v>205</v>
      </c>
      <c r="H45" s="257">
        <v>1100</v>
      </c>
    </row>
    <row r="46" spans="1:9" ht="14.45">
      <c r="A46" s="243" t="s">
        <v>426</v>
      </c>
      <c r="B46" s="257">
        <v>440</v>
      </c>
      <c r="C46"/>
      <c r="D46" s="243" t="s">
        <v>449</v>
      </c>
      <c r="E46" s="257">
        <v>1800</v>
      </c>
      <c r="G46" s="243" t="s">
        <v>449</v>
      </c>
      <c r="H46" s="257">
        <v>1100</v>
      </c>
    </row>
    <row r="47" spans="1:9" ht="14.45">
      <c r="A47" s="243" t="s">
        <v>449</v>
      </c>
      <c r="B47" s="257">
        <v>270</v>
      </c>
      <c r="C47"/>
      <c r="D47" s="243" t="s">
        <v>396</v>
      </c>
      <c r="E47" s="257">
        <v>1760</v>
      </c>
      <c r="G47" s="243" t="s">
        <v>307</v>
      </c>
      <c r="H47" s="257">
        <v>850</v>
      </c>
    </row>
    <row r="48" spans="1:9" ht="14.45">
      <c r="A48" s="243" t="s">
        <v>1471</v>
      </c>
      <c r="B48" s="257">
        <v>4717</v>
      </c>
      <c r="C48"/>
      <c r="D48" s="243" t="s">
        <v>446</v>
      </c>
      <c r="E48" s="257">
        <v>1095</v>
      </c>
      <c r="G48" s="243" t="s">
        <v>396</v>
      </c>
      <c r="H48" s="257">
        <v>830</v>
      </c>
    </row>
    <row r="49" spans="1:8" ht="14.45">
      <c r="A49"/>
      <c r="B49"/>
      <c r="C49"/>
      <c r="D49" s="243" t="s">
        <v>205</v>
      </c>
      <c r="E49" s="257">
        <v>990</v>
      </c>
      <c r="G49" s="243" t="s">
        <v>153</v>
      </c>
      <c r="H49" s="257">
        <v>602</v>
      </c>
    </row>
    <row r="50" spans="1:8" ht="14.45">
      <c r="A50"/>
      <c r="B50"/>
      <c r="C50"/>
      <c r="D50" s="243" t="s">
        <v>153</v>
      </c>
      <c r="E50" s="257">
        <v>360</v>
      </c>
      <c r="G50" s="243" t="s">
        <v>446</v>
      </c>
      <c r="H50" s="257">
        <v>550</v>
      </c>
    </row>
    <row r="51" spans="1:8" ht="14.45">
      <c r="A51"/>
      <c r="B51"/>
      <c r="C51"/>
      <c r="D51" s="243" t="s">
        <v>1471</v>
      </c>
      <c r="E51" s="257">
        <v>20120.62</v>
      </c>
      <c r="G51" s="243" t="s">
        <v>1471</v>
      </c>
      <c r="H51" s="257">
        <v>12264</v>
      </c>
    </row>
    <row r="52" spans="1:8" ht="14.45">
      <c r="A52"/>
      <c r="B52"/>
      <c r="C52"/>
    </row>
    <row r="53" spans="1:8" ht="14.45">
      <c r="A53"/>
      <c r="B53"/>
      <c r="C53"/>
    </row>
    <row r="55" spans="1:8" ht="14.45">
      <c r="A55"/>
      <c r="B55"/>
      <c r="D55" s="242" t="s">
        <v>415</v>
      </c>
      <c r="E55" t="s">
        <v>1446</v>
      </c>
      <c r="G55" s="242" t="s">
        <v>415</v>
      </c>
      <c r="H55" t="s">
        <v>1446</v>
      </c>
    </row>
    <row r="56" spans="1:8" ht="14.45">
      <c r="A56"/>
      <c r="B56"/>
      <c r="D56" s="242" t="s">
        <v>142</v>
      </c>
      <c r="E56" t="s">
        <v>452</v>
      </c>
      <c r="G56" s="242" t="s">
        <v>142</v>
      </c>
      <c r="H56" t="s">
        <v>440</v>
      </c>
    </row>
    <row r="57" spans="1:8" ht="14.45">
      <c r="B57" s="258"/>
      <c r="E57" s="258" t="s">
        <v>1472</v>
      </c>
      <c r="H57" s="258" t="s">
        <v>1473</v>
      </c>
    </row>
    <row r="58" spans="1:8" ht="14.45">
      <c r="A58"/>
      <c r="B58"/>
      <c r="D58" s="242" t="s">
        <v>480</v>
      </c>
      <c r="E58" s="257" t="s">
        <v>1469</v>
      </c>
      <c r="G58" s="242" t="s">
        <v>1470</v>
      </c>
      <c r="H58" s="257" t="s">
        <v>1469</v>
      </c>
    </row>
    <row r="59" spans="1:8" ht="14.45">
      <c r="A59"/>
      <c r="B59"/>
      <c r="D59" s="243" t="s">
        <v>459</v>
      </c>
      <c r="E59" s="257">
        <v>11420</v>
      </c>
      <c r="G59" s="243" t="s">
        <v>513</v>
      </c>
      <c r="H59" s="257">
        <v>6190.03</v>
      </c>
    </row>
    <row r="60" spans="1:8" ht="14.45">
      <c r="A60"/>
      <c r="B60"/>
      <c r="D60" s="243" t="s">
        <v>504</v>
      </c>
      <c r="E60" s="257">
        <v>2390</v>
      </c>
      <c r="G60" s="243" t="s">
        <v>442</v>
      </c>
      <c r="H60" s="257">
        <v>5580</v>
      </c>
    </row>
    <row r="61" spans="1:8" ht="14.45">
      <c r="A61"/>
      <c r="B61"/>
      <c r="D61" s="243" t="s">
        <v>462</v>
      </c>
      <c r="E61" s="257">
        <v>1970</v>
      </c>
      <c r="G61" s="243" t="s">
        <v>471</v>
      </c>
      <c r="H61" s="257">
        <v>441.97</v>
      </c>
    </row>
    <row r="62" spans="1:8" ht="14.45">
      <c r="A62"/>
      <c r="B62"/>
      <c r="D62" s="243" t="s">
        <v>479</v>
      </c>
      <c r="E62" s="257">
        <v>1860</v>
      </c>
      <c r="G62" s="243" t="s">
        <v>571</v>
      </c>
      <c r="H62" s="257">
        <v>52</v>
      </c>
    </row>
    <row r="63" spans="1:8" ht="14.45">
      <c r="A63"/>
      <c r="B63"/>
      <c r="D63" s="243" t="s">
        <v>471</v>
      </c>
      <c r="E63" s="257">
        <v>900.62</v>
      </c>
      <c r="G63" s="243" t="s">
        <v>1471</v>
      </c>
      <c r="H63" s="257">
        <v>12263.999999999998</v>
      </c>
    </row>
    <row r="64" spans="1:8" ht="14.45">
      <c r="A64"/>
      <c r="B64"/>
      <c r="D64" s="243" t="s">
        <v>498</v>
      </c>
      <c r="E64" s="257">
        <v>880</v>
      </c>
      <c r="G64"/>
      <c r="H64"/>
    </row>
    <row r="65" spans="1:8" ht="14.45">
      <c r="A65"/>
      <c r="B65"/>
      <c r="D65" s="243" t="s">
        <v>454</v>
      </c>
      <c r="E65" s="257">
        <v>550</v>
      </c>
      <c r="G65"/>
      <c r="H65"/>
    </row>
    <row r="66" spans="1:8" ht="14.45">
      <c r="A66"/>
      <c r="B66"/>
      <c r="D66" s="243" t="s">
        <v>456</v>
      </c>
      <c r="E66" s="257">
        <v>150</v>
      </c>
      <c r="G66"/>
      <c r="H66"/>
    </row>
    <row r="67" spans="1:8" ht="14.45">
      <c r="A67"/>
      <c r="B67"/>
      <c r="D67" s="243" t="s">
        <v>1471</v>
      </c>
      <c r="E67" s="257">
        <v>20120.62</v>
      </c>
      <c r="G67"/>
      <c r="H67"/>
    </row>
    <row r="68" spans="1:8" ht="14.45">
      <c r="A68" s="246"/>
      <c r="B68" s="246"/>
      <c r="G68"/>
      <c r="H68"/>
    </row>
    <row r="69" spans="1:8" ht="14.45">
      <c r="A69" s="246"/>
      <c r="B69" s="246"/>
      <c r="G69"/>
      <c r="H69"/>
    </row>
    <row r="70" spans="1:8" ht="14.45">
      <c r="A70" s="246"/>
      <c r="B70" s="246"/>
      <c r="G70"/>
      <c r="H70"/>
    </row>
    <row r="71" spans="1:8" ht="14.45">
      <c r="A71" s="246"/>
      <c r="B71" s="246"/>
      <c r="G71"/>
      <c r="H71"/>
    </row>
    <row r="72" spans="1:8" ht="14.45">
      <c r="A72" s="246"/>
      <c r="B72" s="246"/>
      <c r="G72"/>
      <c r="H72"/>
    </row>
    <row r="73" spans="1:8" ht="14.45">
      <c r="A73" s="246"/>
      <c r="B73" s="246"/>
      <c r="G73"/>
      <c r="H73"/>
    </row>
    <row r="74" spans="1:8" ht="14.45">
      <c r="G74"/>
      <c r="H74"/>
    </row>
    <row r="75" spans="1:8" ht="14.45">
      <c r="G75"/>
      <c r="H75"/>
    </row>
    <row r="76" spans="1:8" ht="14.45">
      <c r="G76"/>
      <c r="H76"/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Pedro Henrique Pesente Correia Rosa</cp:lastModifiedBy>
  <cp:revision/>
  <dcterms:created xsi:type="dcterms:W3CDTF">2025-11-11T13:48:15Z</dcterms:created>
  <dcterms:modified xsi:type="dcterms:W3CDTF">2025-11-18T19:37:18Z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