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2265" documentId="13_ncr:1_{1FFCA2AD-14E4-4B9A-98FB-D1DA18665813}" xr6:coauthVersionLast="47" xr6:coauthVersionMax="47" xr10:uidLastSave="{EEF2068B-663C-4677-ACC2-A12553F91B0C}"/>
  <bookViews>
    <workbookView xWindow="-108" yWindow="-108" windowWidth="23256" windowHeight="12456" firstSheet="4" activeTab="1" xr2:uid="{79B5BA07-D2C6-4A71-9E5E-B065B1438F00}"/>
  </bookViews>
  <sheets>
    <sheet name="VW DAF" sheetId="9" r:id="rId1"/>
    <sheet name="CUSTOS" sheetId="13" r:id="rId2"/>
    <sheet name="FRETE MÁQUINAS" sheetId="4" r:id="rId3"/>
    <sheet name="PEDIDO COMPRA" sheetId="7" r:id="rId4"/>
    <sheet name="FRETE PEÇAS" sheetId="6" r:id="rId5"/>
    <sheet name="UTIL" sheetId="10" r:id="rId6"/>
    <sheet name="DEMO NOV" sheetId="12" r:id="rId7"/>
  </sheets>
  <definedNames>
    <definedName name="_xlnm._FilterDatabase" localSheetId="2" hidden="1">'FRETE MÁQUINAS'!$A$1:$Q$1</definedName>
    <definedName name="_xlnm._FilterDatabase" localSheetId="5" hidden="1">UTIL!$N$1:$R$1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9" i="7" l="1"/>
  <c r="E59" i="7"/>
  <c r="L60" i="7"/>
  <c r="E60" i="7"/>
  <c r="E41" i="7"/>
  <c r="E42" i="7"/>
  <c r="E43" i="7"/>
  <c r="C24" i="13"/>
  <c r="L77" i="7"/>
  <c r="L3" i="7"/>
  <c r="L4" i="7"/>
  <c r="L2" i="7"/>
  <c r="L5" i="7"/>
  <c r="L6" i="7"/>
  <c r="L8" i="7"/>
  <c r="L13" i="7"/>
  <c r="L12" i="7"/>
  <c r="L14" i="7"/>
  <c r="L10" i="7"/>
  <c r="L9" i="7"/>
  <c r="L11" i="7"/>
  <c r="L7" i="7"/>
  <c r="L22" i="7"/>
  <c r="L20" i="7"/>
  <c r="L26" i="7"/>
  <c r="L15" i="7"/>
  <c r="L31" i="7"/>
  <c r="L24" i="7"/>
  <c r="L32" i="7"/>
  <c r="L25" i="7"/>
  <c r="L19" i="7"/>
  <c r="L27" i="7"/>
  <c r="L28" i="7"/>
  <c r="L33" i="7"/>
  <c r="L16" i="7"/>
  <c r="L17" i="7"/>
  <c r="L18" i="7"/>
  <c r="L36" i="7"/>
  <c r="L21" i="7"/>
  <c r="L23" i="7"/>
  <c r="L34" i="7"/>
  <c r="L35" i="7"/>
  <c r="L37" i="7"/>
  <c r="L44" i="7"/>
  <c r="L45" i="7"/>
  <c r="L39" i="7"/>
  <c r="L40" i="7"/>
  <c r="L38" i="7"/>
  <c r="L48" i="7"/>
  <c r="L53" i="7"/>
  <c r="L54" i="7"/>
  <c r="L55" i="7"/>
  <c r="L62" i="7"/>
  <c r="L63" i="7"/>
  <c r="L64" i="7"/>
  <c r="L65" i="7"/>
  <c r="L66" i="7"/>
  <c r="L67" i="7"/>
  <c r="L68" i="7"/>
  <c r="L49" i="7"/>
  <c r="L52" i="7"/>
  <c r="L29" i="7"/>
  <c r="L30" i="7"/>
  <c r="L47" i="7"/>
  <c r="L72" i="7"/>
  <c r="L46" i="7"/>
  <c r="L69" i="7"/>
  <c r="L50" i="7"/>
  <c r="L73" i="7"/>
  <c r="L74" i="7"/>
  <c r="L58" i="7"/>
  <c r="L61" i="7"/>
  <c r="L51" i="7"/>
  <c r="L56" i="7"/>
  <c r="L57" i="7"/>
  <c r="L70" i="7"/>
  <c r="L71" i="7"/>
  <c r="L75" i="7"/>
  <c r="L78" i="7"/>
  <c r="L79" i="7"/>
  <c r="L80" i="7"/>
  <c r="L81" i="7"/>
  <c r="L82" i="7"/>
  <c r="L76" i="7"/>
  <c r="L41" i="7"/>
  <c r="L42" i="7"/>
  <c r="L43" i="7"/>
  <c r="L83" i="7"/>
  <c r="L84" i="7"/>
  <c r="L85" i="7"/>
  <c r="L86" i="7"/>
  <c r="L87" i="7"/>
  <c r="L88" i="7"/>
  <c r="L89" i="7"/>
  <c r="L90" i="7"/>
  <c r="L91" i="7"/>
  <c r="L92" i="7"/>
  <c r="L93" i="7"/>
  <c r="C21" i="13"/>
  <c r="D21" i="13"/>
  <c r="E21" i="13"/>
  <c r="F21" i="13"/>
  <c r="G21" i="13"/>
  <c r="C22" i="13"/>
  <c r="D22" i="13"/>
  <c r="E22" i="13"/>
  <c r="F22" i="13"/>
  <c r="G22" i="13"/>
  <c r="C23" i="13"/>
  <c r="D23" i="13"/>
  <c r="E23" i="13"/>
  <c r="F23" i="13"/>
  <c r="G23" i="13"/>
  <c r="D24" i="13"/>
  <c r="E24" i="13"/>
  <c r="F24" i="13"/>
  <c r="G24" i="13"/>
  <c r="C25" i="13"/>
  <c r="D25" i="13"/>
  <c r="E25" i="13"/>
  <c r="F25" i="13"/>
  <c r="G25" i="13"/>
  <c r="C26" i="13"/>
  <c r="D26" i="13"/>
  <c r="E26" i="13"/>
  <c r="F26" i="13"/>
  <c r="G26" i="13"/>
  <c r="C27" i="13"/>
  <c r="D27" i="13"/>
  <c r="E27" i="13"/>
  <c r="F27" i="13"/>
  <c r="G27" i="13"/>
  <c r="D20" i="13"/>
  <c r="E20" i="13"/>
  <c r="F20" i="13"/>
  <c r="G20" i="13"/>
  <c r="H20" i="13"/>
  <c r="H21" i="13"/>
  <c r="H22" i="13"/>
  <c r="H23" i="13"/>
  <c r="H24" i="13"/>
  <c r="H25" i="13"/>
  <c r="H26" i="13"/>
  <c r="H27" i="13"/>
  <c r="C20" i="13"/>
  <c r="I20" i="13" s="1"/>
  <c r="E45" i="4"/>
  <c r="E44" i="4"/>
  <c r="L14" i="13"/>
  <c r="L13" i="13"/>
  <c r="R3" i="13"/>
  <c r="R4" i="13"/>
  <c r="R5" i="13"/>
  <c r="R6" i="13"/>
  <c r="R7" i="13"/>
  <c r="R8" i="13"/>
  <c r="R9" i="13"/>
  <c r="R10" i="13"/>
  <c r="C11" i="13"/>
  <c r="D11" i="13"/>
  <c r="E11" i="13"/>
  <c r="F11" i="13"/>
  <c r="G11" i="13"/>
  <c r="E12" i="13"/>
  <c r="F12" i="13"/>
  <c r="G12" i="13"/>
  <c r="C13" i="13"/>
  <c r="D13" i="13"/>
  <c r="E13" i="13"/>
  <c r="F13" i="13"/>
  <c r="G13" i="13"/>
  <c r="D14" i="13"/>
  <c r="E14" i="13"/>
  <c r="F14" i="13"/>
  <c r="C15" i="13"/>
  <c r="D15" i="13"/>
  <c r="E15" i="13"/>
  <c r="F15" i="13"/>
  <c r="G15" i="13"/>
  <c r="C16" i="13"/>
  <c r="D16" i="13"/>
  <c r="E16" i="13"/>
  <c r="F16" i="13"/>
  <c r="G16" i="13"/>
  <c r="C17" i="13"/>
  <c r="D17" i="13"/>
  <c r="E17" i="13"/>
  <c r="F17" i="13"/>
  <c r="G17" i="13"/>
  <c r="D10" i="13"/>
  <c r="F10" i="13"/>
  <c r="E83" i="4"/>
  <c r="E82" i="4"/>
  <c r="C31" i="13"/>
  <c r="D31" i="13"/>
  <c r="E31" i="13"/>
  <c r="F31" i="13"/>
  <c r="G31" i="13"/>
  <c r="C32" i="13"/>
  <c r="D32" i="13"/>
  <c r="E32" i="13"/>
  <c r="F32" i="13"/>
  <c r="G32" i="13"/>
  <c r="C33" i="13"/>
  <c r="D33" i="13"/>
  <c r="E33" i="13"/>
  <c r="F33" i="13"/>
  <c r="G33" i="13"/>
  <c r="C34" i="13"/>
  <c r="D34" i="13"/>
  <c r="E34" i="13"/>
  <c r="F34" i="13"/>
  <c r="G34" i="13"/>
  <c r="C35" i="13"/>
  <c r="D35" i="13"/>
  <c r="E35" i="13"/>
  <c r="F35" i="13"/>
  <c r="G35" i="13"/>
  <c r="C36" i="13"/>
  <c r="D36" i="13"/>
  <c r="E36" i="13"/>
  <c r="F36" i="13"/>
  <c r="G36" i="13"/>
  <c r="C37" i="13"/>
  <c r="D37" i="13"/>
  <c r="E37" i="13"/>
  <c r="F37" i="13"/>
  <c r="G37" i="13"/>
  <c r="G30" i="13"/>
  <c r="F30" i="13"/>
  <c r="H30" i="13" s="1"/>
  <c r="E30" i="13"/>
  <c r="D30" i="13"/>
  <c r="C30" i="13"/>
  <c r="I30" i="13" s="1"/>
  <c r="O4" i="13"/>
  <c r="O5" i="13"/>
  <c r="O6" i="13"/>
  <c r="O7" i="13"/>
  <c r="O8" i="13"/>
  <c r="O9" i="13"/>
  <c r="O10" i="13"/>
  <c r="O3" i="13"/>
  <c r="L4" i="13"/>
  <c r="L5" i="13"/>
  <c r="L6" i="13"/>
  <c r="L7" i="13"/>
  <c r="L8" i="13"/>
  <c r="L9" i="13"/>
  <c r="L10" i="13"/>
  <c r="L3" i="13"/>
  <c r="G7" i="13"/>
  <c r="E7" i="13"/>
  <c r="F7" i="13"/>
  <c r="T54" i="4"/>
  <c r="U54" i="4" a="1"/>
  <c r="U54" i="4"/>
  <c r="T55" i="4"/>
  <c r="U55" i="4" a="1"/>
  <c r="U55" i="4"/>
  <c r="T56" i="4"/>
  <c r="U56" i="4" a="1"/>
  <c r="U56" i="4"/>
  <c r="T57" i="4"/>
  <c r="U57" i="4" a="1"/>
  <c r="U57" i="4" s="1"/>
  <c r="T58" i="4"/>
  <c r="U58" i="4" a="1"/>
  <c r="U58" i="4" s="1"/>
  <c r="T59" i="4"/>
  <c r="U59" i="4" s="1" a="1"/>
  <c r="U59" i="4" s="1"/>
  <c r="T60" i="4"/>
  <c r="U60" i="4" s="1" a="1"/>
  <c r="U60" i="4" s="1"/>
  <c r="T61" i="4"/>
  <c r="U61" i="4" s="1" a="1"/>
  <c r="U61" i="4" s="1"/>
  <c r="T62" i="4"/>
  <c r="U62" i="4" s="1" a="1"/>
  <c r="U62" i="4" s="1"/>
  <c r="T63" i="4"/>
  <c r="U63" i="4" s="1" a="1"/>
  <c r="U63" i="4" s="1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U85" i="4" s="1" a="1"/>
  <c r="U85" i="4" s="1"/>
  <c r="E73" i="4"/>
  <c r="C73" i="4"/>
  <c r="E72" i="4"/>
  <c r="C72" i="4"/>
  <c r="E71" i="4"/>
  <c r="C71" i="4"/>
  <c r="C62" i="4"/>
  <c r="C63" i="4"/>
  <c r="E69" i="4"/>
  <c r="C69" i="4"/>
  <c r="E70" i="4"/>
  <c r="C70" i="4"/>
  <c r="C45" i="4"/>
  <c r="C44" i="4"/>
  <c r="C56" i="4"/>
  <c r="C57" i="4"/>
  <c r="E93" i="7"/>
  <c r="E74" i="7"/>
  <c r="E73" i="7"/>
  <c r="E75" i="7"/>
  <c r="E77" i="7"/>
  <c r="E78" i="7"/>
  <c r="E79" i="7"/>
  <c r="E80" i="7"/>
  <c r="E81" i="7"/>
  <c r="E82" i="7"/>
  <c r="E76" i="7"/>
  <c r="E83" i="7"/>
  <c r="E84" i="7"/>
  <c r="E85" i="7"/>
  <c r="E86" i="7"/>
  <c r="E87" i="7"/>
  <c r="E88" i="7"/>
  <c r="E89" i="7"/>
  <c r="E90" i="7"/>
  <c r="E91" i="7"/>
  <c r="E92" i="7"/>
  <c r="E69" i="7"/>
  <c r="E70" i="7"/>
  <c r="E71" i="7"/>
  <c r="E72" i="7"/>
  <c r="N203" i="10"/>
  <c r="N204" i="10"/>
  <c r="N205" i="10"/>
  <c r="N206" i="10"/>
  <c r="N207" i="10"/>
  <c r="E68" i="7"/>
  <c r="E67" i="7"/>
  <c r="E66" i="7"/>
  <c r="E65" i="7"/>
  <c r="C37" i="4"/>
  <c r="E48" i="7"/>
  <c r="E79" i="4"/>
  <c r="E78" i="4"/>
  <c r="E75" i="4"/>
  <c r="E74" i="4"/>
  <c r="E66" i="4"/>
  <c r="E65" i="4"/>
  <c r="E64" i="4"/>
  <c r="E67" i="4"/>
  <c r="E68" i="4"/>
  <c r="E40" i="4"/>
  <c r="E39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54" i="4"/>
  <c r="C55" i="4"/>
  <c r="C40" i="4"/>
  <c r="C39" i="4"/>
  <c r="C35" i="4"/>
  <c r="C36" i="4"/>
  <c r="T53" i="4"/>
  <c r="U53" i="4" s="1" a="1"/>
  <c r="U53" i="4" s="1"/>
  <c r="E31" i="4"/>
  <c r="C31" i="4"/>
  <c r="C38" i="4"/>
  <c r="T52" i="4"/>
  <c r="U52" i="4" s="1" a="1"/>
  <c r="U52" i="4" s="1"/>
  <c r="C53" i="4"/>
  <c r="E46" i="4"/>
  <c r="C7" i="13" s="1"/>
  <c r="C46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1" i="4"/>
  <c r="C47" i="4"/>
  <c r="C34" i="4"/>
  <c r="E34" i="4"/>
  <c r="C49" i="4"/>
  <c r="C52" i="4"/>
  <c r="C50" i="4"/>
  <c r="C48" i="4"/>
  <c r="C41" i="4"/>
  <c r="C42" i="4"/>
  <c r="E50" i="7"/>
  <c r="E51" i="7"/>
  <c r="E52" i="7"/>
  <c r="E53" i="7"/>
  <c r="E54" i="7"/>
  <c r="E55" i="7"/>
  <c r="E58" i="7"/>
  <c r="E56" i="7"/>
  <c r="E61" i="7"/>
  <c r="E57" i="7"/>
  <c r="E62" i="7"/>
  <c r="E63" i="7"/>
  <c r="E64" i="7"/>
  <c r="E46" i="7"/>
  <c r="E47" i="7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8" i="4"/>
  <c r="C7" i="4"/>
  <c r="C2" i="4"/>
  <c r="C4" i="4"/>
  <c r="C3" i="4"/>
  <c r="C6" i="4"/>
  <c r="C10" i="4"/>
  <c r="C11" i="4"/>
  <c r="C9" i="4"/>
  <c r="C15" i="4"/>
  <c r="C17" i="4"/>
  <c r="C16" i="4"/>
  <c r="C14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43" i="4"/>
  <c r="C61" i="4"/>
  <c r="C60" i="4"/>
  <c r="C85" i="4"/>
  <c r="C84" i="4"/>
  <c r="C59" i="4"/>
  <c r="C58" i="4"/>
  <c r="C30" i="4"/>
  <c r="C29" i="4"/>
  <c r="C5" i="4"/>
  <c r="E29" i="4"/>
  <c r="E11" i="4"/>
  <c r="E9" i="4"/>
  <c r="E16" i="4"/>
  <c r="E14" i="4"/>
  <c r="E18" i="4"/>
  <c r="E20" i="4"/>
  <c r="E19" i="4"/>
  <c r="G10" i="13" s="1"/>
  <c r="E27" i="4"/>
  <c r="E24" i="4"/>
  <c r="G14" i="13" s="1"/>
  <c r="E26" i="4"/>
  <c r="E25" i="4"/>
  <c r="E32" i="4"/>
  <c r="E33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202" i="10"/>
  <c r="N45" i="10"/>
  <c r="N39" i="10"/>
  <c r="N197" i="10"/>
  <c r="N174" i="10"/>
  <c r="N5" i="10"/>
  <c r="N200" i="10"/>
  <c r="N38" i="10"/>
  <c r="N37" i="10"/>
  <c r="N193" i="10"/>
  <c r="N191" i="10"/>
  <c r="N107" i="10"/>
  <c r="N116" i="10"/>
  <c r="N198" i="10"/>
  <c r="N185" i="10"/>
  <c r="N2" i="10"/>
  <c r="N43" i="10"/>
  <c r="E2" i="7" s="1"/>
  <c r="N170" i="10"/>
  <c r="N75" i="10"/>
  <c r="N167" i="10"/>
  <c r="N166" i="10"/>
  <c r="N165" i="10"/>
  <c r="N164" i="10"/>
  <c r="N163" i="10"/>
  <c r="N162" i="10"/>
  <c r="N161" i="10"/>
  <c r="N160" i="10"/>
  <c r="N159" i="10"/>
  <c r="N158" i="10"/>
  <c r="N157" i="10"/>
  <c r="N99" i="10"/>
  <c r="N155" i="10"/>
  <c r="N12" i="10"/>
  <c r="N152" i="10"/>
  <c r="N133" i="10"/>
  <c r="N25" i="10"/>
  <c r="N109" i="10"/>
  <c r="N150" i="10"/>
  <c r="N149" i="10"/>
  <c r="N148" i="10"/>
  <c r="N147" i="10"/>
  <c r="N196" i="10"/>
  <c r="N3" i="10"/>
  <c r="N127" i="10"/>
  <c r="N114" i="10"/>
  <c r="N92" i="10"/>
  <c r="N84" i="10"/>
  <c r="N182" i="10"/>
  <c r="N119" i="10"/>
  <c r="N87" i="10"/>
  <c r="N34" i="10"/>
  <c r="N33" i="10"/>
  <c r="N32" i="10"/>
  <c r="N31" i="10"/>
  <c r="N103" i="10"/>
  <c r="N8" i="10"/>
  <c r="N50" i="10"/>
  <c r="N105" i="10"/>
  <c r="N169" i="10"/>
  <c r="N153" i="10"/>
  <c r="N156" i="10"/>
  <c r="N122" i="10"/>
  <c r="N44" i="10"/>
  <c r="N71" i="10"/>
  <c r="N143" i="10"/>
  <c r="N120" i="10"/>
  <c r="N168" i="10"/>
  <c r="N23" i="10"/>
  <c r="N22" i="10"/>
  <c r="N47" i="10"/>
  <c r="E7" i="7" s="1"/>
  <c r="N124" i="10"/>
  <c r="N136" i="10"/>
  <c r="N135" i="10"/>
  <c r="N134" i="10"/>
  <c r="N178" i="10"/>
  <c r="N177" i="10"/>
  <c r="N126" i="10"/>
  <c r="N190" i="10"/>
  <c r="N189" i="10"/>
  <c r="N188" i="10"/>
  <c r="N180" i="10"/>
  <c r="N179" i="10"/>
  <c r="N128" i="10"/>
  <c r="N6" i="10"/>
  <c r="N192" i="10"/>
  <c r="N195" i="10"/>
  <c r="N46" i="10"/>
  <c r="N183" i="10"/>
  <c r="N181" i="10"/>
  <c r="N171" i="10"/>
  <c r="N194" i="10"/>
  <c r="E33" i="7" s="1"/>
  <c r="N130" i="10"/>
  <c r="N78" i="10"/>
  <c r="N115" i="10"/>
  <c r="N113" i="10"/>
  <c r="N112" i="10"/>
  <c r="N111" i="10"/>
  <c r="N106" i="10"/>
  <c r="N102" i="10"/>
  <c r="N96" i="10"/>
  <c r="N94" i="10"/>
  <c r="N93" i="10"/>
  <c r="N91" i="10"/>
  <c r="N90" i="10"/>
  <c r="E15" i="7" s="1"/>
  <c r="N89" i="10"/>
  <c r="N88" i="10"/>
  <c r="N42" i="10"/>
  <c r="N85" i="10"/>
  <c r="N83" i="10"/>
  <c r="N80" i="10"/>
  <c r="N77" i="10"/>
  <c r="N76" i="10"/>
  <c r="N73" i="10"/>
  <c r="N53" i="10"/>
  <c r="N51" i="10"/>
  <c r="N41" i="10"/>
  <c r="N40" i="10"/>
  <c r="N28" i="10"/>
  <c r="N27" i="10"/>
  <c r="N11" i="10"/>
  <c r="N10" i="10"/>
  <c r="N9" i="10"/>
  <c r="N95" i="10"/>
  <c r="N4" i="10"/>
  <c r="N125" i="10"/>
  <c r="N118" i="10"/>
  <c r="N97" i="10"/>
  <c r="N98" i="10"/>
  <c r="N108" i="10"/>
  <c r="N142" i="10"/>
  <c r="N176" i="10"/>
  <c r="E26" i="7" s="1"/>
  <c r="N101" i="10"/>
  <c r="N154" i="10"/>
  <c r="N21" i="10"/>
  <c r="N86" i="10"/>
  <c r="N132" i="10"/>
  <c r="N81" i="10"/>
  <c r="N175" i="10"/>
  <c r="N184" i="10"/>
  <c r="N70" i="10"/>
  <c r="N48" i="10"/>
  <c r="N30" i="10"/>
  <c r="N146" i="10"/>
  <c r="N129" i="10"/>
  <c r="N100" i="10"/>
  <c r="N104" i="10"/>
  <c r="N72" i="10"/>
  <c r="N74" i="10"/>
  <c r="N201" i="10"/>
  <c r="N187" i="10"/>
  <c r="N186" i="10"/>
  <c r="N54" i="10"/>
  <c r="N199" i="10"/>
  <c r="N52" i="10"/>
  <c r="N145" i="10"/>
  <c r="N144" i="10"/>
  <c r="N69" i="10"/>
  <c r="N110" i="10"/>
  <c r="N82" i="10"/>
  <c r="N20" i="10"/>
  <c r="N151" i="10"/>
  <c r="N49" i="10"/>
  <c r="N29" i="10"/>
  <c r="N79" i="10"/>
  <c r="N173" i="10"/>
  <c r="N172" i="10"/>
  <c r="N13" i="10"/>
  <c r="N7" i="10"/>
  <c r="N123" i="10"/>
  <c r="N36" i="10"/>
  <c r="N131" i="10"/>
  <c r="N26" i="10"/>
  <c r="N121" i="10"/>
  <c r="N19" i="10"/>
  <c r="N18" i="10"/>
  <c r="N17" i="10"/>
  <c r="N16" i="10"/>
  <c r="N15" i="10"/>
  <c r="N14" i="10"/>
  <c r="N24" i="10"/>
  <c r="N141" i="10"/>
  <c r="N140" i="10"/>
  <c r="N139" i="10"/>
  <c r="N138" i="10"/>
  <c r="N137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117" i="10"/>
  <c r="N35" i="10"/>
  <c r="N55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U21" i="4" s="1" a="1"/>
  <c r="U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U23" i="4" s="1" a="1"/>
  <c r="U23" i="4" s="1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I37" i="13" l="1"/>
  <c r="I36" i="13"/>
  <c r="I35" i="13"/>
  <c r="I34" i="13"/>
  <c r="I33" i="13"/>
  <c r="I32" i="13"/>
  <c r="I31" i="13"/>
  <c r="I17" i="13"/>
  <c r="I16" i="13"/>
  <c r="I15" i="13"/>
  <c r="I13" i="13"/>
  <c r="I11" i="13"/>
  <c r="I27" i="13"/>
  <c r="I26" i="13"/>
  <c r="I25" i="13"/>
  <c r="I24" i="13"/>
  <c r="I23" i="13"/>
  <c r="I22" i="13"/>
  <c r="I21" i="13"/>
  <c r="C10" i="13"/>
  <c r="C14" i="13"/>
  <c r="I14" i="13" s="1"/>
  <c r="E10" i="13"/>
  <c r="E6" i="13" s="1"/>
  <c r="E5" i="13" s="1"/>
  <c r="D7" i="13"/>
  <c r="D12" i="13"/>
  <c r="D6" i="13" s="1"/>
  <c r="C12" i="13"/>
  <c r="H17" i="13"/>
  <c r="H16" i="13"/>
  <c r="H15" i="13"/>
  <c r="H14" i="13"/>
  <c r="H13" i="13"/>
  <c r="H12" i="13"/>
  <c r="H11" i="13"/>
  <c r="H10" i="13"/>
  <c r="H37" i="13"/>
  <c r="H36" i="13"/>
  <c r="H35" i="13"/>
  <c r="H34" i="13"/>
  <c r="H33" i="13"/>
  <c r="H32" i="13"/>
  <c r="H31" i="13"/>
  <c r="G6" i="13"/>
  <c r="G5" i="13" s="1"/>
  <c r="F6" i="13"/>
  <c r="F5" i="13" s="1"/>
  <c r="E34" i="7"/>
  <c r="E35" i="7"/>
  <c r="E30" i="7"/>
  <c r="E40" i="7"/>
  <c r="E44" i="7"/>
  <c r="E45" i="7"/>
  <c r="E25" i="7"/>
  <c r="E24" i="7"/>
  <c r="E37" i="7"/>
  <c r="E39" i="7"/>
  <c r="E38" i="7"/>
  <c r="E27" i="7"/>
  <c r="E28" i="7"/>
  <c r="E29" i="7"/>
  <c r="E32" i="7"/>
  <c r="E31" i="7"/>
  <c r="E9" i="7"/>
  <c r="E10" i="7"/>
  <c r="E11" i="7"/>
  <c r="E12" i="7"/>
  <c r="E13" i="7"/>
  <c r="E14" i="7"/>
  <c r="E8" i="7"/>
  <c r="E22" i="7"/>
  <c r="E23" i="7"/>
  <c r="E36" i="7"/>
  <c r="E20" i="7"/>
  <c r="E19" i="7"/>
  <c r="E16" i="7"/>
  <c r="E17" i="7"/>
  <c r="E18" i="7"/>
  <c r="E21" i="7"/>
  <c r="E3" i="7"/>
  <c r="E4" i="7"/>
  <c r="E6" i="7"/>
  <c r="E5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C6" i="13" l="1"/>
  <c r="C5" i="13" s="1"/>
  <c r="I12" i="13"/>
  <c r="I10" i="13"/>
  <c r="D5" i="13"/>
  <c r="H6" i="13"/>
  <c r="H7" i="13"/>
  <c r="H5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<sst xmlns="http://schemas.openxmlformats.org/spreadsheetml/2006/main" count="3396" uniqueCount="1359">
  <si>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</si>
  <si>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</si>
  <si>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</si>
  <si>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</si>
  <si>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</si>
  <si>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</si>
  <si>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</si>
  <si>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</si>
  <si>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</si>
  <si>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</si>
  <si>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</si>
  <si>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</si>
  <si>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</si>
  <si>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</si>
  <si>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</si>
  <si>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</si>
  <si>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</si>
  <si>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</si>
  <si>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</si>
  <si>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</si>
  <si>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</si>
  <si>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</si>
  <si>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</si>
  <si>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</si>
  <si>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</si>
  <si>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</si>
  <si>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</si>
  <si>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</si>
  <si>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</si>
  <si>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</si>
  <si>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</si>
  <si>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</si>
  <si>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</si>
  <si>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</si>
  <si>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</si>
  <si>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</si>
  <si>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</si>
  <si>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</si>
  <si>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</si>
  <si>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</si>
  <si>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</si>
  <si>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</si>
  <si>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</si>
  <si>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</si>
  <si>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</si>
  <si>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</si>
  <si>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</si>
  <si>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</si>
  <si>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</si>
  <si>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</si>
  <si>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</si>
  <si>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</si>
  <si>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</si>
  <si>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</si>
  <si>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</si>
  <si>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</si>
  <si>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</si>
  <si>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</si>
  <si>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</si>
  <si>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</si>
  <si>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</si>
  <si>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</si>
  <si>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</si>
  <si>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</si>
  <si>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</si>
  <si>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</si>
  <si>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</si>
  <si>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</si>
  <si>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</si>
  <si>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</si>
  <si>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</si>
  <si>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</si>
  <si>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</si>
  <si>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</si>
  <si>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</si>
  <si>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</si>
  <si>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</si>
  <si>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</si>
  <si>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</si>
  <si>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</si>
  <si>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</si>
  <si>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</si>
  <si>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</si>
  <si>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</si>
  <si>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</si>
  <si>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</si>
  <si>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</si>
  <si>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</si>
  <si>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</si>
  <si>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</si>
  <si>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</si>
  <si>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</si>
  <si>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</si>
  <si>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</si>
  <si>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</si>
  <si>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</si>
  <si>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</si>
  <si>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</si>
  <si>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</si>
  <si>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</si>
  <si>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</si>
  <si>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</si>
  <si>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</si>
  <si>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</si>
  <si>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</si>
  <si>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</si>
  <si>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</si>
  <si>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</si>
  <si>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</si>
  <si>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</si>
  <si>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</si>
  <si>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</si>
  <si>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</si>
  <si>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</si>
  <si>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</si>
  <si>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</si>
  <si>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</si>
  <si>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</si>
  <si>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</si>
  <si>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</si>
  <si>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</si>
  <si>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</si>
  <si>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</si>
  <si>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</si>
  <si>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</si>
  <si>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</si>
  <si>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</si>
  <si>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</si>
  <si>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</si>
  <si>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ANO FISCAL 2026</t>
  </si>
  <si>
    <t>FRETE PEÇAS MOTOBOY - PC</t>
  </si>
  <si>
    <t>FRETE PEÇAS TRANSPORTADORAS - PC</t>
  </si>
  <si>
    <t>UTILIZAÇÃO DE MUNCK - PC</t>
  </si>
  <si>
    <t>METAS</t>
  </si>
  <si>
    <t>TRATOR</t>
  </si>
  <si>
    <t>PLANTADEIRA</t>
  </si>
  <si>
    <t>PULVERIZADOR</t>
  </si>
  <si>
    <t>PLATAFORMA</t>
  </si>
  <si>
    <t>COLHEITADEIRA</t>
  </si>
  <si>
    <t>COLHEITADEIRA+PL</t>
  </si>
  <si>
    <t>PONTA GROSSA</t>
  </si>
  <si>
    <t>FRETE ABAIXO DE:</t>
  </si>
  <si>
    <t>CASTRO</t>
  </si>
  <si>
    <t>ATUALMENTE (geral):</t>
  </si>
  <si>
    <t>ARAPOTI</t>
  </si>
  <si>
    <t>PRÓPRIO</t>
  </si>
  <si>
    <t>TIBAGI</t>
  </si>
  <si>
    <t>TERCEIRO</t>
  </si>
  <si>
    <t>IRATI</t>
  </si>
  <si>
    <t>PRUDENTÓPOLIS</t>
  </si>
  <si>
    <t>PROPRIO - FRETE MÁQUINAS</t>
  </si>
  <si>
    <t>GUARAPUAVA</t>
  </si>
  <si>
    <t>QUEDAS DO IGUAÇU</t>
  </si>
  <si>
    <t>Manutenção</t>
  </si>
  <si>
    <t>Manutenção VW</t>
  </si>
  <si>
    <t>Manutenção DAF</t>
  </si>
  <si>
    <t xml:space="preserve">*revisar </t>
  </si>
  <si>
    <t>TERCEIRO - FRETE MÁQUINAS</t>
  </si>
  <si>
    <t>TERCEIRO - PEDIDO DE COMPRA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</si>
  <si>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</si>
  <si>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</si>
  <si>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</si>
  <si>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</si>
  <si>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</si>
  <si>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</si>
  <si>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</si>
  <si>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</si>
  <si>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</si>
  <si>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</si>
  <si>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</si>
  <si>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</si>
  <si>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</si>
  <si>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</si>
  <si>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</si>
  <si>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</si>
  <si>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</si>
  <si>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</si>
  <si>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</si>
  <si>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</si>
  <si>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MAZETTO</t>
  </si>
  <si>
    <t>1BM5080EPS4204124</t>
  </si>
  <si>
    <t xml:space="preserve">LUIZ HENRIQUE GREIN -NF107347 </t>
  </si>
  <si>
    <t>euclides.junior</t>
  </si>
  <si>
    <t>CLIENTE</t>
  </si>
  <si>
    <t>DE LOJA PARA CLIENTE</t>
  </si>
  <si>
    <t>MPA</t>
  </si>
  <si>
    <t>https://maps.app.goo.gl/jZEWqzLvNcpTnRBE8</t>
  </si>
  <si>
    <t>Emerson</t>
  </si>
  <si>
    <t>TERCEIRO DEMETRIO</t>
  </si>
  <si>
    <t>1BM5060ECN4103629</t>
  </si>
  <si>
    <t>MANUTENÇÃO → CLIENTE</t>
  </si>
  <si>
    <t>daisy.kakol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</si>
  <si>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</si>
  <si>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</si>
  <si>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</si>
  <si>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</si>
  <si>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</si>
  <si>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</si>
  <si>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</si>
  <si>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</si>
  <si>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</si>
  <si>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</si>
  <si>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</si>
  <si>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</si>
  <si>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</si>
  <si>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</si>
  <si>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</si>
  <si>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</si>
  <si>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</si>
  <si>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</si>
  <si>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</si>
  <si>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</si>
  <si>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</si>
  <si>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</si>
  <si>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PROPRIO VW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</si>
  <si>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</si>
  <si>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</si>
  <si>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</si>
  <si>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</si>
  <si>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</si>
  <si>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</si>
  <si>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</si>
  <si>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</si>
  <si>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https://maps.app.goo.gl/PXTmMqoYPtx48Gex6</t>
  </si>
  <si>
    <t>LUCIANO DE FREITAS - 43 99624-6946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</si>
  <si>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</si>
  <si>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</si>
  <si>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</si>
  <si>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</si>
  <si>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</si>
  <si>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</si>
  <si>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</si>
  <si>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</si>
  <si>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</si>
  <si>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</si>
  <si>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</si>
  <si>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</si>
  <si>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</si>
  <si>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</si>
  <si>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</si>
  <si>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</si>
  <si>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</si>
  <si>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</si>
  <si>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</si>
  <si>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</si>
  <si>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</si>
  <si>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1BM7215CVR3000057</t>
  </si>
  <si>
    <t>marcelo.ferreira</t>
  </si>
  <si>
    <t>https://maps.app.goo.gl/pQZUg9LPg5sgdyLs8</t>
  </si>
  <si>
    <t>GABRIEL - 42 -99972-7464</t>
  </si>
  <si>
    <t>1BM6135MASH000623</t>
  </si>
  <si>
    <t>VLADEMIR STORTI -NF107917</t>
  </si>
  <si>
    <t>https://maps.app.goo.gl/giUyNXP6omVdANbb6</t>
  </si>
  <si>
    <t>Vladmir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</si>
  <si>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</si>
  <si>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</si>
  <si>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</si>
  <si>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</si>
  <si>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</si>
  <si>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</si>
  <si>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</si>
  <si>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</si>
  <si>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</si>
  <si>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</si>
  <si>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</si>
  <si>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</si>
  <si>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</si>
  <si>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</si>
  <si>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</si>
  <si>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</si>
  <si>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</si>
  <si>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</si>
  <si>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</si>
  <si>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</si>
  <si>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</si>
  <si>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</si>
  <si>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</si>
  <si>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</si>
  <si>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</si>
  <si>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</si>
  <si>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</si>
  <si>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</si>
  <si>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</si>
  <si>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</si>
  <si>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</si>
  <si>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</si>
  <si>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</si>
  <si>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</si>
  <si>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</si>
  <si>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</si>
  <si>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</si>
  <si>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</si>
  <si>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</si>
  <si>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</si>
  <si>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</si>
  <si>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</si>
  <si>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</si>
  <si>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</si>
  <si>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</si>
  <si>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</si>
  <si>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</si>
  <si>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</si>
  <si>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</si>
  <si>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</si>
  <si>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</si>
  <si>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</si>
  <si>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</si>
  <si>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1BM7225JCGH004564</t>
  </si>
  <si>
    <t>https://maps.app.goo.gl/TWUFTdA34fB48Hvv8</t>
  </si>
  <si>
    <t>RUBINHO 42- 99972-3850</t>
  </si>
  <si>
    <t>TERCEIRO ZORTEA</t>
  </si>
  <si>
    <t>1CQFA25APS0160156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</si>
  <si>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</si>
  <si>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</si>
  <si>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</si>
  <si>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</si>
  <si>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1CQS440ACS0155147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</si>
  <si>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</si>
  <si>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</si>
  <si>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</si>
  <si>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</si>
  <si>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</si>
  <si>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</si>
  <si>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</si>
  <si>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</si>
  <si>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</si>
  <si>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</si>
  <si>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</si>
  <si>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</si>
  <si>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</si>
  <si>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</si>
  <si>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</si>
  <si>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</si>
  <si>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</si>
  <si>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</si>
  <si>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</si>
  <si>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</si>
  <si>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</si>
  <si>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</si>
  <si>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</si>
  <si>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</si>
  <si>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</si>
  <si>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</si>
  <si>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 (D)</t>
  </si>
  <si>
    <t>1BM7230CVS3001962</t>
  </si>
  <si>
    <t>FAZENDINHA -NF61895</t>
  </si>
  <si>
    <t>DE CLIENTE PARA CLIENTE</t>
  </si>
  <si>
    <t>https://maps.app.goo.gl/HAQzMitpSPVxhKFi9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</si>
  <si>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</si>
  <si>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</si>
  <si>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</si>
  <si>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</si>
  <si>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</si>
  <si>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</si>
  <si>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</si>
  <si>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</si>
  <si>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</si>
  <si>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</si>
  <si>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</si>
  <si>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</si>
  <si>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</si>
  <si>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</si>
  <si>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</si>
  <si>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</si>
  <si>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TERCEIRO ???</t>
  </si>
  <si>
    <t>1CQ1213AHS0155196</t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</si>
  <si>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</si>
  <si>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</si>
  <si>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</si>
  <si>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</si>
  <si>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</si>
  <si>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</si>
  <si>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</si>
  <si>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</si>
  <si>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</si>
  <si>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</si>
  <si>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</si>
  <si>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</si>
  <si>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</si>
  <si>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</si>
  <si>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</si>
  <si>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</si>
  <si>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</si>
  <si>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</si>
  <si>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</si>
  <si>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</si>
  <si>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</si>
  <si>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</si>
  <si>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</si>
  <si>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</si>
  <si>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</si>
  <si>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</si>
  <si>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</si>
  <si>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</si>
  <si>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</si>
  <si>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</si>
  <si>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</si>
  <si>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</si>
  <si>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</si>
  <si>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</si>
  <si>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</si>
  <si>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</si>
  <si>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</si>
  <si>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</si>
  <si>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</si>
  <si>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</si>
  <si>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</si>
  <si>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</si>
  <si>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</si>
  <si>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</si>
  <si>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</si>
  <si>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</si>
  <si>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</si>
  <si>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</si>
  <si>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</si>
  <si>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</si>
  <si>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</si>
  <si>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</si>
  <si>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</si>
  <si>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</si>
  <si>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</si>
  <si>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</si>
  <si>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</si>
  <si>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</si>
  <si>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</si>
  <si>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</si>
  <si>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</si>
  <si>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047117</t>
  </si>
  <si>
    <t>DETRAN PR</t>
  </si>
  <si>
    <t>Reboque: sem ABS correto</t>
  </si>
  <si>
    <t>Reboque: Licenciamento 2025</t>
  </si>
  <si>
    <t>Velocidade: acima de 20% (multa de 2024)</t>
  </si>
  <si>
    <t>047178</t>
  </si>
  <si>
    <t>DNIT</t>
  </si>
  <si>
    <t>BOLETO DNIT - AET TRIMESTRAL VW (120006)</t>
  </si>
  <si>
    <t>Frete Peças T</t>
  </si>
  <si>
    <t>047186</t>
  </si>
  <si>
    <t>ESC TRANSPORTES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</si>
  <si>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</si>
  <si>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</si>
  <si>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</si>
  <si>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</si>
  <si>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</si>
  <si>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</si>
  <si>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</si>
  <si>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</si>
  <si>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</si>
  <si>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</si>
  <si>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047199</t>
  </si>
  <si>
    <t>JOHN ELVIS COURIER</t>
  </si>
  <si>
    <t>FRETE DE PEÇAS P/ CLIENTE</t>
  </si>
  <si>
    <t>047233</t>
  </si>
  <si>
    <t>DELTA MOTOS COURIER</t>
  </si>
  <si>
    <t xml:space="preserve">FRETE DE PEÇAS MOTOBOY X CLIENTE                                                </t>
  </si>
  <si>
    <t>047243</t>
  </si>
  <si>
    <t>047244</t>
  </si>
  <si>
    <t>047246</t>
  </si>
  <si>
    <t>047247</t>
  </si>
  <si>
    <t>MOTOBOY X CLIENTE: ENTREGAS DO MÊS DE OUTUBRO</t>
  </si>
  <si>
    <t>047249</t>
  </si>
  <si>
    <t>047258</t>
  </si>
  <si>
    <t xml:space="preserve">ANDREIA R. COURIER  </t>
  </si>
  <si>
    <t>047267</t>
  </si>
  <si>
    <t>FIN</t>
  </si>
  <si>
    <t>MARCOS D COURIER</t>
  </si>
  <si>
    <t>MOTOBOY: TRANSF ENTRE LOJAS GRPVA X CASTRO</t>
  </si>
  <si>
    <t>047268</t>
  </si>
  <si>
    <t>MOTOBOY: orçamento  79186</t>
  </si>
  <si>
    <t>Frete Máq. Trator</t>
  </si>
  <si>
    <t>047269</t>
  </si>
  <si>
    <t>STOSKI TRANSPORTES</t>
  </si>
  <si>
    <t>ENTREGA TRATOR 6135M - LAURO MIGUEL STRONA</t>
  </si>
  <si>
    <t>047315</t>
  </si>
  <si>
    <t>TRANSCAPITINGA  FRET</t>
  </si>
  <si>
    <t>TRANSPORTE DE TRATOR DE JAPIRA PARA ARAPOTI</t>
  </si>
  <si>
    <t>TRANSPORTE DE TRATOR PARA SIQUEIRA CAMPOS VEREDIANA</t>
  </si>
  <si>
    <t>Munck</t>
  </si>
  <si>
    <t>UTILIZAÇÃO DE MUNCK PARA CARREGAR E DESCARREGAR NA LOJA</t>
  </si>
  <si>
    <t>047328</t>
  </si>
  <si>
    <t>JORGE LUIZ 2 COURIER</t>
  </si>
  <si>
    <t>entrega de peça cliente Paulo Roberto Soczek Dzierwa</t>
  </si>
  <si>
    <t>047348</t>
  </si>
  <si>
    <t>PRINCESA DOS CAMPOS</t>
  </si>
  <si>
    <t>CTE - KLABIN TB</t>
  </si>
  <si>
    <t>047349</t>
  </si>
  <si>
    <t>UNIBOY COURIER</t>
  </si>
  <si>
    <t>MOTOBOY</t>
  </si>
  <si>
    <t>047383</t>
  </si>
  <si>
    <t>SERIE4 - MT 1</t>
  </si>
  <si>
    <t>peças: correia, polia lisa, polia virabrequim, tensionador -vw</t>
  </si>
  <si>
    <t>serviço de manutenção e troca -vw</t>
  </si>
  <si>
    <t>047437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</si>
  <si>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</si>
  <si>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</si>
  <si>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</si>
  <si>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</si>
  <si>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</si>
  <si>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</si>
  <si>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047552</t>
  </si>
  <si>
    <t>GRICZYNSKI TRANSP</t>
  </si>
  <si>
    <t>Aguardando</t>
  </si>
  <si>
    <t>047553</t>
  </si>
  <si>
    <t>ANDREANI - MT</t>
  </si>
  <si>
    <t>Diagnóstico e testes via aparelho - VW</t>
  </si>
  <si>
    <t>Conector e sensor de rotação e tomada - VW</t>
  </si>
  <si>
    <t>047572</t>
  </si>
  <si>
    <t>AGROMAQ TRANSPORTES</t>
  </si>
  <si>
    <t>Entrega do distribuidor de nutrientes Tomazina</t>
  </si>
  <si>
    <t>047573</t>
  </si>
  <si>
    <t>MUNCK IRATI TRANSP</t>
  </si>
  <si>
    <t>Transporte de plataforma usada de irati para prude</t>
  </si>
  <si>
    <t>047685</t>
  </si>
  <si>
    <t>JOSEAMILTON1 COURIER</t>
  </si>
  <si>
    <t>047687</t>
  </si>
  <si>
    <t>047732</t>
  </si>
  <si>
    <t>SUL LONAS - MT</t>
  </si>
  <si>
    <t>FLC LONIL VERDE / PRETO CAPAS COLHETADEIRA E LANÇAS</t>
  </si>
  <si>
    <t>047733</t>
  </si>
  <si>
    <t>MEGA TRUCK ACESSORIOS - MT</t>
  </si>
  <si>
    <t>Manutenção em todas as rodas - VW</t>
  </si>
  <si>
    <t>047738</t>
  </si>
  <si>
    <t>munck: (des)carregar  peças e implementos para a loja</t>
  </si>
  <si>
    <t>047750</t>
  </si>
  <si>
    <t>CTE KLABIN</t>
  </si>
  <si>
    <t>CTE SINAL SERVIÇOS</t>
  </si>
  <si>
    <t>Frete Máq. Carreta</t>
  </si>
  <si>
    <t>047752</t>
  </si>
  <si>
    <t>Frete Máq. Colheitadeira</t>
  </si>
  <si>
    <t>Frete Máq. Plataforma</t>
  </si>
  <si>
    <t>047757</t>
  </si>
  <si>
    <t>CARGADEDICADA TRANS</t>
  </si>
  <si>
    <t>CTE - COCAMAR</t>
  </si>
  <si>
    <t>047758</t>
  </si>
  <si>
    <t>INCOMESPMUNCK TRANSP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</si>
  <si>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</si>
  <si>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</si>
  <si>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</si>
  <si>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</si>
  <si>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</si>
  <si>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</si>
  <si>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</si>
  <si>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</si>
  <si>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TRANSPORTES</t>
  </si>
  <si>
    <t>Frete Máq. Pulverizador</t>
  </si>
  <si>
    <t>047803</t>
  </si>
  <si>
    <t>LUG TRANSPORTES</t>
  </si>
  <si>
    <t>047804</t>
  </si>
  <si>
    <t>MAZETTO TRANSPORTES</t>
  </si>
  <si>
    <t>RONALDO RABBERS -NF109962 - FRETE TRATOR</t>
  </si>
  <si>
    <t>047805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</si>
  <si>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</si>
  <si>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</si>
  <si>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</si>
  <si>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</si>
  <si>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</si>
  <si>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</si>
  <si>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</si>
  <si>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</si>
  <si>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</si>
  <si>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</si>
  <si>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</si>
  <si>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</si>
  <si>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</si>
  <si>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</si>
  <si>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</si>
  <si>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</si>
  <si>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</si>
  <si>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</si>
  <si>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</si>
  <si>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</si>
  <si>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</si>
  <si>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</si>
  <si>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</si>
  <si>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</si>
  <si>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</si>
  <si>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</si>
  <si>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</si>
  <si>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</si>
  <si>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</si>
  <si>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</si>
  <si>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</si>
  <si>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</si>
  <si>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</si>
  <si>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</si>
  <si>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</si>
  <si>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</si>
  <si>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</si>
  <si>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</si>
  <si>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</si>
  <si>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</si>
  <si>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</si>
  <si>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</si>
  <si>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</si>
  <si>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</si>
  <si>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</si>
  <si>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</si>
  <si>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</si>
  <si>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</si>
  <si>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3S TRANSPORTES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</si>
  <si>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</si>
  <si>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</si>
  <si>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</si>
  <si>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</si>
  <si>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</si>
  <si>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</si>
  <si>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</si>
  <si>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</si>
  <si>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</si>
  <si>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</si>
  <si>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</si>
  <si>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</si>
  <si>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Frete Peças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</si>
  <si>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</si>
  <si>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</si>
  <si>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</si>
  <si>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</si>
  <si>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</si>
  <si>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</si>
  <si>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</si>
  <si>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</si>
  <si>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</si>
  <si>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</si>
  <si>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</si>
  <si>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</si>
  <si>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</si>
  <si>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</si>
  <si>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</si>
  <si>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</si>
  <si>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</si>
  <si>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</si>
  <si>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</si>
  <si>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</si>
  <si>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</si>
  <si>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</si>
  <si>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</si>
  <si>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</si>
  <si>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</si>
  <si>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</si>
  <si>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</si>
  <si>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</si>
  <si>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</si>
  <si>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</si>
  <si>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</si>
  <si>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</si>
  <si>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</si>
  <si>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</si>
  <si>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</si>
  <si>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</si>
  <si>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</si>
  <si>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</si>
  <si>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</si>
  <si>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</si>
  <si>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</si>
  <si>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</si>
  <si>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</si>
  <si>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</si>
  <si>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</si>
  <si>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</si>
  <si>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</si>
  <si>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</si>
  <si>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</si>
  <si>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</si>
  <si>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</si>
  <si>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</si>
  <si>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</si>
  <si>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</si>
  <si>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</si>
  <si>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</si>
  <si>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</si>
  <si>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</si>
  <si>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</si>
  <si>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</si>
  <si>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</si>
  <si>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</si>
  <si>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</si>
  <si>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</si>
  <si>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</si>
  <si>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</si>
  <si>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</si>
  <si>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</si>
  <si>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</si>
  <si>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</si>
  <si>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</si>
  <si>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</si>
  <si>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</si>
  <si>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</si>
  <si>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</si>
  <si>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</si>
  <si>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</si>
  <si>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</si>
  <si>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</si>
  <si>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</si>
  <si>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</si>
  <si>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</si>
  <si>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</si>
  <si>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</si>
  <si>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</si>
  <si>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</si>
  <si>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</si>
  <si>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</si>
  <si>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</si>
  <si>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</si>
  <si>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</si>
  <si>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</si>
  <si>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</si>
  <si>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</si>
  <si>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</si>
  <si>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</si>
  <si>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</si>
  <si>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</si>
  <si>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</si>
  <si>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</si>
  <si>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</si>
  <si>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</si>
  <si>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</si>
  <si>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</si>
  <si>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</si>
  <si>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</si>
  <si>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</si>
  <si>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</si>
  <si>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</si>
  <si>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</si>
  <si>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</si>
  <si>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</si>
  <si>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</si>
  <si>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</si>
  <si>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</si>
  <si>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</si>
  <si>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</si>
  <si>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</si>
  <si>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</si>
  <si>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</si>
  <si>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</si>
  <si>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</si>
  <si>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</si>
  <si>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</si>
  <si>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</si>
  <si>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</si>
  <si>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</si>
  <si>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</si>
  <si>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</si>
  <si>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</si>
  <si>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</si>
  <si>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</si>
  <si>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</si>
  <si>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</si>
  <si>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</si>
  <si>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</si>
  <si>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</si>
  <si>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</si>
  <si>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</si>
  <si>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</si>
  <si>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</si>
  <si>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</si>
  <si>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</si>
  <si>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</si>
  <si>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</si>
  <si>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</si>
  <si>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</si>
  <si>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</si>
  <si>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</si>
  <si>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</si>
  <si>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</si>
  <si>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</si>
  <si>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</si>
  <si>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</si>
  <si>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</si>
  <si>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</si>
  <si>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</si>
  <si>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</si>
  <si>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</si>
  <si>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</si>
  <si>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</si>
  <si>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</si>
  <si>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</si>
  <si>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</si>
  <si>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</si>
  <si>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</si>
  <si>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</si>
  <si>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</si>
  <si>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</si>
  <si>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</si>
  <si>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</si>
  <si>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</si>
  <si>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</si>
  <si>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</si>
  <si>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</si>
  <si>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</si>
  <si>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</si>
  <si>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</si>
  <si>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</si>
  <si>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</si>
  <si>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</si>
  <si>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</si>
  <si>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</si>
  <si>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</si>
  <si>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</si>
  <si>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</si>
  <si>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</si>
  <si>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</si>
  <si>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</si>
  <si>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</si>
  <si>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</si>
  <si>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</si>
  <si>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</si>
  <si>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</si>
  <si>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</si>
  <si>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</si>
  <si>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</si>
  <si>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</si>
  <si>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</si>
  <si>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</si>
  <si>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</si>
  <si>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</si>
  <si>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</si>
  <si>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</si>
  <si>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</si>
  <si>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</si>
  <si>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</si>
  <si>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</si>
  <si>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</si>
  <si>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</si>
  <si>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</si>
  <si>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</si>
  <si>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</si>
  <si>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</si>
  <si>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</si>
  <si>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</si>
  <si>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</si>
  <si>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</si>
  <si>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</si>
  <si>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</si>
  <si>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</si>
  <si>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</si>
  <si>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</si>
  <si>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</si>
  <si>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</si>
  <si>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</si>
  <si>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</si>
  <si>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</si>
  <si>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</si>
  <si>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</si>
  <si>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</si>
  <si>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</si>
  <si>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</si>
  <si>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</si>
  <si>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</si>
  <si>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</si>
  <si>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</si>
  <si>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</si>
  <si>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</si>
  <si>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</si>
  <si>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</si>
  <si>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</si>
  <si>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</si>
  <si>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</si>
  <si>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</si>
  <si>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</si>
  <si>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</si>
  <si>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</si>
  <si>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</si>
  <si>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</si>
  <si>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</si>
  <si>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</si>
  <si>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</si>
  <si>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</si>
  <si>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</si>
  <si>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</si>
  <si>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</si>
  <si>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</si>
  <si>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</si>
  <si>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</si>
  <si>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</si>
  <si>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</si>
  <si>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</si>
  <si>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</si>
  <si>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</si>
  <si>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</si>
  <si>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</si>
  <si>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</si>
  <si>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</si>
  <si>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</si>
  <si>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</si>
  <si>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</si>
  <si>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</si>
  <si>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EXPRESSO SAO MIGUEL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</si>
  <si>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</si>
  <si>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</si>
  <si>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</si>
  <si>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</si>
  <si>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</si>
  <si>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</si>
  <si>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</si>
  <si>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</si>
  <si>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</si>
  <si>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</si>
  <si>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</si>
  <si>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</si>
  <si>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</si>
  <si>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</si>
  <si>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</si>
  <si>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</si>
  <si>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</si>
  <si>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</si>
  <si>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</si>
  <si>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</si>
  <si>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</si>
  <si>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</si>
  <si>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</si>
  <si>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</si>
  <si>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</si>
  <si>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</si>
  <si>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</si>
  <si>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</si>
  <si>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</si>
  <si>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</si>
  <si>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</si>
  <si>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</si>
  <si>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</si>
  <si>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</si>
  <si>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</si>
  <si>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</si>
  <si>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</si>
  <si>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</si>
  <si>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</si>
  <si>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</si>
  <si>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</si>
  <si>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</si>
  <si>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</si>
  <si>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</si>
  <si>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</si>
  <si>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</si>
  <si>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</si>
  <si>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</si>
  <si>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</si>
  <si>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</si>
  <si>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</si>
  <si>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</si>
  <si>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</si>
  <si>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</si>
  <si>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</si>
  <si>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</si>
  <si>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</si>
  <si>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</si>
  <si>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</si>
  <si>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</si>
  <si>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</si>
  <si>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</si>
  <si>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</si>
  <si>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</si>
  <si>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</si>
  <si>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</si>
  <si>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</si>
  <si>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</si>
  <si>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</si>
  <si>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</si>
  <si>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</si>
  <si>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</si>
  <si>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</si>
  <si>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</si>
  <si>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</si>
  <si>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</si>
  <si>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</si>
  <si>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</si>
  <si>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</si>
  <si>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</si>
  <si>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</si>
  <si>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</si>
  <si>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</si>
  <si>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</si>
  <si>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</si>
  <si>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</si>
  <si>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</si>
  <si>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</si>
  <si>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</si>
  <si>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</si>
  <si>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</si>
  <si>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</si>
  <si>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</si>
  <si>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</si>
  <si>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</si>
  <si>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</si>
  <si>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</si>
  <si>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</si>
  <si>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</si>
  <si>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</si>
  <si>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</si>
  <si>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</si>
  <si>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</si>
  <si>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</si>
  <si>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</si>
  <si>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</si>
  <si>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</si>
  <si>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</si>
  <si>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</si>
  <si>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</si>
  <si>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</si>
  <si>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</si>
  <si>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</si>
  <si>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</si>
  <si>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</si>
  <si>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</si>
  <si>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</si>
  <si>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</si>
  <si>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</si>
  <si>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</si>
  <si>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</si>
  <si>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</si>
  <si>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</si>
  <si>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</si>
  <si>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</si>
  <si>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</si>
  <si>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</si>
  <si>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</si>
  <si>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</si>
  <si>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</si>
  <si>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</si>
  <si>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</si>
  <si>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</si>
  <si>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</si>
  <si>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</si>
  <si>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</si>
  <si>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</si>
  <si>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</si>
  <si>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</si>
  <si>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</si>
  <si>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</si>
  <si>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</si>
  <si>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</si>
  <si>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</si>
  <si>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</si>
  <si>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</si>
  <si>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</si>
  <si>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</si>
  <si>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</si>
  <si>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</si>
  <si>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</si>
  <si>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</si>
  <si>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</si>
  <si>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</si>
  <si>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</si>
  <si>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KOMBEX EMILYE TRANSP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</si>
  <si>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</si>
  <si>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</si>
  <si>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</si>
  <si>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</si>
  <si>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</si>
  <si>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</si>
  <si>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</si>
  <si>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</si>
  <si>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</si>
  <si>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LBR TRANSP AEREO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</si>
  <si>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</si>
  <si>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</si>
  <si>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</si>
  <si>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</si>
  <si>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</si>
  <si>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</si>
  <si>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</si>
  <si>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</si>
  <si>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</si>
  <si>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</si>
  <si>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</si>
  <si>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</si>
  <si>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</si>
  <si>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</si>
  <si>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</si>
  <si>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</si>
  <si>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</si>
  <si>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</si>
  <si>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</si>
  <si>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</si>
  <si>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</si>
  <si>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</si>
  <si>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</si>
  <si>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</si>
  <si>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</si>
  <si>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</si>
  <si>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</t>
  </si>
  <si>
    <t>1107</t>
  </si>
  <si>
    <t>LUG COMERCIO DE PECAS PARA TRATORES LTDA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</si>
  <si>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</si>
  <si>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</si>
  <si>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</si>
  <si>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</si>
  <si>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</si>
  <si>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</si>
  <si>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</si>
  <si>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</si>
  <si>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</si>
  <si>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</si>
  <si>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</si>
  <si>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</si>
  <si>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</si>
  <si>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</si>
  <si>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</si>
  <si>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</si>
  <si>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</si>
  <si>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</si>
  <si>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</si>
  <si>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</si>
  <si>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</si>
  <si>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</si>
  <si>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</si>
  <si>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</si>
  <si>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</si>
  <si>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</si>
  <si>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</si>
  <si>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</si>
  <si>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</si>
  <si>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</si>
  <si>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</si>
  <si>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</si>
  <si>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</si>
  <si>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</si>
  <si>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</si>
  <si>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</si>
  <si>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</si>
  <si>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</si>
  <si>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</si>
  <si>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</si>
  <si>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</si>
  <si>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</si>
  <si>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</si>
  <si>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</si>
  <si>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</si>
  <si>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</si>
  <si>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</si>
  <si>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</si>
  <si>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</si>
  <si>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</si>
  <si>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</si>
  <si>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</si>
  <si>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</si>
  <si>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</si>
  <si>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</si>
  <si>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</si>
  <si>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PV</t>
  </si>
  <si>
    <t>4025</t>
  </si>
  <si>
    <t>M4025</t>
  </si>
  <si>
    <t>CELSO HARTMANN E CIA LTDA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</si>
  <si>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</si>
  <si>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</si>
  <si>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</si>
  <si>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</si>
  <si>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</si>
  <si>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</si>
  <si>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</si>
  <si>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</si>
  <si>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</si>
  <si>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</si>
  <si>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</si>
  <si>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</si>
  <si>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</si>
  <si>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</si>
  <si>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</si>
  <si>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</si>
  <si>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</si>
  <si>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</si>
  <si>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</si>
  <si>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</si>
  <si>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</si>
  <si>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</si>
  <si>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</si>
  <si>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</si>
  <si>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</si>
  <si>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</si>
  <si>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</si>
  <si>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</si>
  <si>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</si>
  <si>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</si>
  <si>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</si>
  <si>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</si>
  <si>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</si>
  <si>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</si>
  <si>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</si>
  <si>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</si>
  <si>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</si>
  <si>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</si>
  <si>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</si>
  <si>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</si>
  <si>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</si>
  <si>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</si>
  <si>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</si>
  <si>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</si>
  <si>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</si>
  <si>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</si>
  <si>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</si>
  <si>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</si>
  <si>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</si>
  <si>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</si>
  <si>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</si>
  <si>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</si>
  <si>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</si>
  <si>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</si>
  <si>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</si>
  <si>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</si>
  <si>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</si>
  <si>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</si>
  <si>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</si>
  <si>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</si>
  <si>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</si>
  <si>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</si>
  <si>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</si>
  <si>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</si>
  <si>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</si>
  <si>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</si>
  <si>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</si>
  <si>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</si>
  <si>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</si>
  <si>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</si>
  <si>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</si>
  <si>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</si>
  <si>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</si>
  <si>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</si>
  <si>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</si>
  <si>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</si>
  <si>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</si>
  <si>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</si>
  <si>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</si>
  <si>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</si>
  <si>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</si>
  <si>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</si>
  <si>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</si>
  <si>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</si>
  <si>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SERIE4 - MT 2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</si>
  <si>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</si>
  <si>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</si>
  <si>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</si>
  <si>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</si>
  <si>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</si>
  <si>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</si>
  <si>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</si>
  <si>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</si>
  <si>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</si>
  <si>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</si>
  <si>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</si>
  <si>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</si>
  <si>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</si>
  <si>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</si>
  <si>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</si>
  <si>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</si>
  <si>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</si>
  <si>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</si>
  <si>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</si>
  <si>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</si>
  <si>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</si>
  <si>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</si>
  <si>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</si>
  <si>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</si>
  <si>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</si>
  <si>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</si>
  <si>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</si>
  <si>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</si>
  <si>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</si>
  <si>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</si>
  <si>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</si>
  <si>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</si>
  <si>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</si>
  <si>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</si>
  <si>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</si>
  <si>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</si>
  <si>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</si>
  <si>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</si>
  <si>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</si>
  <si>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</si>
  <si>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</si>
  <si>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</si>
  <si>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</si>
  <si>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</si>
  <si>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</si>
  <si>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</si>
  <si>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</si>
  <si>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</si>
  <si>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</si>
  <si>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</si>
  <si>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</si>
  <si>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 xml:space="preserve">LOG - PAULO FRONTIN PR        </t>
  </si>
  <si>
    <t>RUIZ COMERCIO E REPRESENTACOES LTDA ME</t>
  </si>
  <si>
    <t>INCOMESP FABRICAÇÃO E LOCAÇÃO LTDA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</si>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</sst>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8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86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44" fillId="0" borderId="1" xfId="0" applyFont="1" applyBorder="1" applyAlignment="1">
      <alignment horizontal="right"/>
    </xf>
    <xf numFmtId="0" fontId="44" fillId="0" borderId="1" xfId="0" applyFont="1" applyBorder="1" applyAlignment="1">
      <alignment horizontal="center" vertical="center"/>
    </xf>
    <xf numFmtId="164" fontId="45" fillId="0" borderId="1" xfId="0" applyNumberFormat="1" applyFont="1" applyBorder="1" applyAlignment="1">
      <alignment horizontal="center" vertical="center"/>
    </xf>
    <xf numFmtId="0" fontId="44" fillId="0" borderId="2" xfId="0" applyFont="1" applyBorder="1" applyAlignment="1">
      <alignment horizontal="right"/>
    </xf>
    <xf numFmtId="164" fontId="0" fillId="0" borderId="2" xfId="0" applyNumberFormat="1" applyBorder="1" applyAlignment="1">
      <alignment horizontal="center" vertical="center"/>
    </xf>
    <xf numFmtId="0" fontId="43" fillId="0" borderId="0" xfId="0" applyFont="1" applyAlignment="1">
      <alignment horizontal="center"/>
    </xf>
    <xf numFmtId="0" fontId="46" fillId="0" borderId="0" xfId="0" applyFont="1" applyAlignment="1">
      <alignment horizontal="left" vertical="center"/>
    </xf>
    <xf numFmtId="0" fontId="47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9" fillId="0" borderId="6" xfId="2" applyFont="1" applyFill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 shrinkToFit="1"/>
    </xf>
    <xf numFmtId="0" fontId="49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48" fillId="0" borderId="0" xfId="0" applyFont="1" applyAlignment="1">
      <alignment horizont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44" fillId="0" borderId="0" xfId="0" applyFont="1" applyBorder="1" applyAlignment="1">
      <alignment horizontal="center" vertical="center"/>
    </xf>
    <xf numFmtId="164" fontId="45" fillId="0" borderId="0" xfId="0" applyNumberFormat="1" applyFon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52" fillId="0" borderId="6" xfId="0" applyFont="1" applyBorder="1" applyAlignment="1">
      <alignment horizontal="left" vertical="center" shrinkToFit="1"/>
    </xf>
    <xf numFmtId="0" fontId="52" fillId="0" borderId="0" xfId="0" applyFont="1" applyAlignment="1">
      <alignment horizontal="left" vertical="center" shrinkToFit="1"/>
    </xf>
    <xf numFmtId="20" fontId="52" fillId="0" borderId="0" xfId="0" applyNumberFormat="1" applyFont="1" applyAlignment="1">
      <alignment horizontal="left" vertical="center" shrinkToFit="1"/>
    </xf>
    <xf numFmtId="164" fontId="52" fillId="0" borderId="0" xfId="0" applyNumberFormat="1" applyFont="1" applyAlignment="1">
      <alignment horizontal="left" vertical="center" shrinkToFit="1"/>
    </xf>
    <xf numFmtId="164" fontId="52" fillId="0" borderId="6" xfId="0" applyNumberFormat="1" applyFont="1" applyBorder="1" applyAlignment="1">
      <alignment horizontal="left" vertical="center" shrinkToFit="1"/>
    </xf>
    <xf numFmtId="14" fontId="52" fillId="0" borderId="0" xfId="0" applyNumberFormat="1" applyFont="1" applyAlignment="1">
      <alignment horizontal="left" vertical="center" shrinkToFit="1"/>
    </xf>
    <xf numFmtId="14" fontId="52" fillId="0" borderId="6" xfId="0" applyNumberFormat="1" applyFont="1" applyBorder="1" applyAlignment="1">
      <alignment horizontal="left" vertical="center" shrinkToFit="1"/>
    </xf>
    <xf numFmtId="0" fontId="53" fillId="0" borderId="6" xfId="2" applyFont="1" applyBorder="1" applyAlignment="1">
      <alignment horizontal="left" vertical="center" shrinkToFit="1"/>
    </xf>
    <xf numFmtId="0" fontId="54" fillId="0" borderId="0" xfId="0" applyFont="1" applyAlignment="1">
      <alignment horizontal="left" vertical="center"/>
    </xf>
    <xf numFmtId="0" fontId="53" fillId="0" borderId="0" xfId="2" applyFont="1" applyFill="1" applyAlignment="1">
      <alignment horizontal="left" vertical="center" shrinkToFit="1"/>
    </xf>
    <xf numFmtId="0" fontId="44" fillId="0" borderId="22" xfId="0" applyFont="1" applyBorder="1" applyAlignment="1">
      <alignment horizontal="center"/>
    </xf>
    <xf numFmtId="0" fontId="47" fillId="0" borderId="22" xfId="0" applyFont="1" applyBorder="1" applyAlignment="1">
      <alignment horizont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5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4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04" dataDxfId="103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02"/>
    <tableColumn id="2" xr3:uid="{8BF83C7C-9ED1-47DD-BC5F-63DA1560216C}" name="FRETE" dataDxfId="101"/>
    <tableColumn id="3" xr3:uid="{B758A2AA-452E-4F91-A2A6-E8CD9100E3DE}" name="HR" dataDxfId="100">
      <calculatedColumnFormula>IFERROR((D2*1.5)/1440, "?")</calculatedColumnFormula>
    </tableColumn>
    <tableColumn id="4" xr3:uid="{65BC45AA-44C5-4933-ADBD-7603EB922BE5}" name="KM" dataDxfId="99"/>
    <tableColumn id="5" xr3:uid="{276116FF-109D-41D4-97B8-33BDEC97F408}" name="R$ PROP" dataDxfId="98">
      <calculatedColumnFormula>IFERROR((D2*6),"?")</calculatedColumnFormula>
    </tableColumn>
    <tableColumn id="6" xr3:uid="{70534257-D783-4146-96E1-2E685CBB89A4}" name="R$ TERC" dataDxfId="97"/>
    <tableColumn id="7" xr3:uid="{3D60D21C-F567-43A3-8E40-BE7F689ECF34}" name="CHASSI" dataDxfId="96"/>
    <tableColumn id="8" xr3:uid="{52559DB2-54FE-4292-B44C-9CD4CF656213}" name="PREV" dataDxfId="95"/>
    <tableColumn id="9" xr3:uid="{83C52D74-44DB-466D-8572-853956B9E720}" name="REAL" dataDxfId="94"/>
    <tableColumn id="10" xr3:uid="{F096729E-B5E6-4D3D-B03C-234DF10FC38E}" name="CLIENTE/NOTA" dataDxfId="93"/>
    <tableColumn id="11" xr3:uid="{9AD47A28-9E98-4261-BB4E-53A18FCF11A6}" name="SOLICITANTE" dataDxfId="92"/>
    <tableColumn id="12" xr3:uid="{797C4B0D-8EC2-4476-9B1D-9680399D22D2}" name="ESTÁ:" dataDxfId="91"/>
    <tableColumn id="13" xr3:uid="{78010355-1A74-41F4-AEBD-3035D2289546}" name="VAI:" dataDxfId="90"/>
    <tableColumn id="14" xr3:uid="{77527C27-6C98-47E9-848B-1D141B3F645A}" name="TIPO" dataDxfId="89"/>
    <tableColumn id="15" xr3:uid="{7B83F651-80C0-40BF-A436-446D32DB61AE}" name="ESTÁ EM:" dataDxfId="88"/>
    <tableColumn id="16" xr3:uid="{26BED5E2-C25C-4647-855D-C4EE6753E61E}" name="VAI PARA:" dataDxfId="87"/>
    <tableColumn id="17" xr3:uid="{22FC017A-B677-426F-90FC-92BAB89D9B4A}" name="OBS" dataDxfId="86"/>
    <tableColumn id="18" xr3:uid="{5AC9D283-0F34-4EF4-A53A-85F8F57E85F2}" name="FILIAL CUSTOS" dataDxfId="85"/>
    <tableColumn id="19" xr3:uid="{DC4F9CD0-326F-411D-8AC9-ED6CAB7FB1E9}" name="EQUIP" dataDxfId="84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3" totalsRowShown="0" headerRowDxfId="78" dataDxfId="77">
  <autoFilter ref="A1:L93" xr:uid="{CE58ED65-99DD-4790-A9ED-259A68223EBB}"/>
  <sortState xmlns:xlrd2="http://schemas.microsoft.com/office/spreadsheetml/2017/richdata2" ref="A2:L93">
    <sortCondition ref="D1:D93"/>
  </sortState>
  <tableColumns count="12">
    <tableColumn id="1" xr3:uid="{54382593-1F81-433D-9F93-B76C818187F0}" name="TIPO" dataDxfId="76"/>
    <tableColumn id="2" xr3:uid="{4398062D-7437-47E0-8D47-2FB2DD82042D}" name="FILIAL" dataDxfId="75"/>
    <tableColumn id="3" xr3:uid="{5B021649-4C1E-448A-856D-B68EBD29FE35}" name="DATA" dataDxfId="74"/>
    <tableColumn id="4" xr3:uid="{20475BEE-899B-4456-A60C-6E5E5830D60A}" name="PDDO" dataDxfId="73"/>
    <tableColumn id="5" xr3:uid="{52167736-38DB-447F-ABA5-F7F3030C6685}" name="CÓD" dataDxfId="72">
      <calculatedColumnFormula>_xlfn.XLOOKUP(F2,UTIL!Q:Q,UTIL!N:N,"-")</calculatedColumnFormula>
    </tableColumn>
    <tableColumn id="6" xr3:uid="{EC59F397-0DDF-40D5-9D4F-3232B9F3E3AA}" name="FORNECEDOR" dataDxfId="71"/>
    <tableColumn id="7" xr3:uid="{B62521F7-8D78-4799-9138-F4577472D985}" name="VALOR" dataDxfId="70"/>
    <tableColumn id="8" xr3:uid="{0C453D36-D8CB-40C7-924E-11F2DFA712D7}" name="STATUS PC" dataDxfId="69"/>
    <tableColumn id="9" xr3:uid="{48F02895-65FB-49A4-90AC-03012C204F59}" name="Nº NOTA" dataDxfId="68"/>
    <tableColumn id="10" xr3:uid="{09FC5BAE-1C5A-4726-9E49-5D8CA8695440}" name="LANÇADA" dataDxfId="67"/>
    <tableColumn id="11" xr3:uid="{B1E9C8B8-2111-4A21-9D28-51C2A1C336F9}" name="OBSERVAÇÕES" dataDxfId="66"/>
    <tableColumn id="12" xr3:uid="{B0E66A71-C06E-4E69-B75F-5C2A26766683}" name="SALVAR COMO" dataDxfId="65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62" dataDxfId="61">
  <autoFilter ref="A1:O2" xr:uid="{96ED262C-7768-4BDA-8D29-F168B9CAB568}"/>
  <tableColumns count="15">
    <tableColumn id="1" xr3:uid="{B69EFEFF-F887-4E78-AED9-36BFD47C2163}" name="STATUS" dataDxfId="60"/>
    <tableColumn id="2" xr3:uid="{511D0392-1B92-4D5F-98DD-1C91F6205B11}" name="SOLICITANTE" dataDxfId="59"/>
    <tableColumn id="3" xr3:uid="{B8F596C2-530A-4F4E-B3EA-DA7EFDD27017}" name="DATA DA COLETA" dataDxfId="58"/>
    <tableColumn id="4" xr3:uid="{335FD71F-F30D-4127-A0A4-D426AF2905F5}" name="ENTREGAR ATÉ" dataDxfId="57"/>
    <tableColumn id="5" xr3:uid="{D7065B1F-B165-4C67-A25B-3F3D59C82514}" name="MOTOBOY OU DEDICADO?" dataDxfId="56"/>
    <tableColumn id="6" xr3:uid="{9B4C8DC0-A002-44B4-A11D-9A85D683BD3B}" name="ESCOLHA O MOTOBOY" dataDxfId="55"/>
    <tableColumn id="7" xr3:uid="{9EB62DF8-D35F-4A19-AB06-D3EE65940E69}" name="VALOR DO SERVIÇO" dataDxfId="54"/>
    <tableColumn id="8" xr3:uid="{C3036426-E777-46AB-84E5-08F83C7C9F53}" name="QUEM IRÁ PAGAR?" dataDxfId="53"/>
    <tableColumn id="9" xr3:uid="{0390CDD6-5242-4A5E-9D53-EED122D1E773}" name="DESCRIÇÃO" dataDxfId="52"/>
    <tableColumn id="10" xr3:uid="{FBE8999B-D804-4BFB-A0E7-72089F3212C5}" name="PC PARA LOJA" dataDxfId="51"/>
    <tableColumn id="11" xr3:uid="{16B4FCA8-5A17-4B38-9C2F-3C425FA1D0A3}" name="ENVIAR PC PARA" dataDxfId="50"/>
    <tableColumn id="12" xr3:uid="{B5E3C04A-C416-406E-A41C-9B7D05AF6671}" name="DIMENSÕES" dataDxfId="49"/>
    <tableColumn id="13" xr3:uid="{53E9EDB7-BFDB-4482-B5CF-080269012427}" name="LOC COLETA" dataDxfId="48"/>
    <tableColumn id="14" xr3:uid="{04D10BCA-DA76-463F-8C98-1877641F1A10}" name="LOC ENTREGA" dataDxfId="47"/>
    <tableColumn id="15" xr3:uid="{71FE7848-F2AE-4B15-AC80-5B18D6B94E26}" name="SUGESTÃO TRANSP" dataDxfId="46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B118" sqref="B118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4" t="s">
        <v>0</v>
      </c>
      <c r="B1" s="24" t="s">
        <v>1</v>
      </c>
      <c r="C1" s="24" t="s">
        <v>2</v>
      </c>
    </row>
    <row r="2" spans="1:5">
      <c r="A2" s="36" t="s">
        <v>3</v>
      </c>
      <c r="B2" s="36" t="s">
        <v>4</v>
      </c>
      <c r="C2" s="36" t="s">
        <v>5</v>
      </c>
    </row>
    <row r="3" spans="1:5" ht="18">
      <c r="A3" s="36" t="s">
        <v>6</v>
      </c>
      <c r="B3" s="37" t="s">
        <v>7</v>
      </c>
      <c r="C3" s="37" t="s">
        <v>8</v>
      </c>
      <c r="E3" s="71" t="s">
        <v>9</v>
      </c>
    </row>
    <row r="4" spans="1:5">
      <c r="A4" s="36" t="s">
        <v>10</v>
      </c>
      <c r="B4" s="37">
        <v>2010</v>
      </c>
      <c r="C4" s="37">
        <v>2022</v>
      </c>
    </row>
    <row r="5" spans="1:5">
      <c r="A5" s="36" t="s">
        <v>11</v>
      </c>
      <c r="B5" s="37" t="s">
        <v>12</v>
      </c>
      <c r="C5" s="37" t="s">
        <v>12</v>
      </c>
    </row>
    <row r="6" spans="1:5">
      <c r="A6" s="36" t="s">
        <v>13</v>
      </c>
      <c r="B6" s="37" t="s">
        <v>14</v>
      </c>
      <c r="C6" s="37" t="s">
        <v>14</v>
      </c>
    </row>
    <row r="7" spans="1:5">
      <c r="A7" s="36" t="s">
        <v>15</v>
      </c>
      <c r="B7" s="37" t="s">
        <v>16</v>
      </c>
      <c r="C7" s="38" t="s">
        <v>17</v>
      </c>
    </row>
    <row r="8" spans="1:5">
      <c r="A8" s="36" t="s">
        <v>18</v>
      </c>
      <c r="B8" s="37">
        <v>320</v>
      </c>
      <c r="C8" s="37">
        <v>410</v>
      </c>
    </row>
    <row r="9" spans="1:5">
      <c r="A9" s="36" t="s">
        <v>19</v>
      </c>
      <c r="B9" s="37">
        <v>45</v>
      </c>
      <c r="C9" s="37">
        <v>45</v>
      </c>
    </row>
    <row r="10" spans="1:5">
      <c r="A10" s="36" t="s">
        <v>20</v>
      </c>
      <c r="B10" s="37">
        <v>23</v>
      </c>
      <c r="C10" s="37">
        <v>29</v>
      </c>
    </row>
    <row r="11" spans="1:5">
      <c r="A11" s="36" t="s">
        <v>21</v>
      </c>
      <c r="B11" s="37">
        <v>128</v>
      </c>
      <c r="C11" s="37">
        <v>140</v>
      </c>
    </row>
    <row r="12" spans="1:5">
      <c r="A12" s="36" t="s">
        <v>22</v>
      </c>
      <c r="B12" s="37">
        <v>495</v>
      </c>
      <c r="C12" s="37">
        <v>495</v>
      </c>
    </row>
    <row r="13" spans="1:5">
      <c r="A13" s="36" t="s">
        <v>23</v>
      </c>
      <c r="B13" s="37">
        <v>32</v>
      </c>
      <c r="C13" s="37">
        <v>32</v>
      </c>
    </row>
    <row r="14" spans="1:5">
      <c r="A14" s="36" t="s">
        <v>24</v>
      </c>
      <c r="B14" s="37">
        <v>60</v>
      </c>
      <c r="C14" s="37">
        <v>60</v>
      </c>
    </row>
    <row r="15" spans="1:5">
      <c r="A15" s="36" t="s">
        <v>25</v>
      </c>
      <c r="B15" s="37" t="s">
        <v>26</v>
      </c>
      <c r="C15" s="37" t="s">
        <v>27</v>
      </c>
    </row>
    <row r="16" spans="1:5">
      <c r="A16" s="36" t="s">
        <v>28</v>
      </c>
      <c r="B16" s="39">
        <v>252400</v>
      </c>
      <c r="C16" s="39">
        <v>895000</v>
      </c>
    </row>
    <row r="17" spans="1:3">
      <c r="A17" s="36" t="s">
        <v>29</v>
      </c>
      <c r="B17" s="39">
        <v>67300</v>
      </c>
      <c r="C17" s="39">
        <v>120000</v>
      </c>
    </row>
    <row r="18" spans="1:3">
      <c r="A18" s="36" t="s">
        <v>30</v>
      </c>
      <c r="B18" s="40">
        <v>319700</v>
      </c>
      <c r="C18" s="40">
        <v>1015000</v>
      </c>
    </row>
    <row r="19" spans="1:3">
      <c r="A19" s="41"/>
      <c r="B19" s="25"/>
      <c r="C19" s="25"/>
    </row>
    <row r="20" spans="1:3">
      <c r="A20" s="36"/>
      <c r="B20" s="37" t="s">
        <v>4</v>
      </c>
      <c r="C20" s="42" t="s">
        <v>5</v>
      </c>
    </row>
    <row r="21" spans="1:3">
      <c r="A21" s="26"/>
      <c r="B21" s="43" t="s">
        <v>31</v>
      </c>
      <c r="C21" s="43" t="s">
        <v>32</v>
      </c>
    </row>
    <row r="22" spans="1:3">
      <c r="A22" s="26"/>
      <c r="B22" s="44" t="s">
        <v>33</v>
      </c>
      <c r="C22" s="43" t="s">
        <v>33</v>
      </c>
    </row>
    <row r="23" spans="1:3">
      <c r="A23" s="26"/>
      <c r="B23" s="3"/>
      <c r="C23" s="44"/>
    </row>
    <row r="24" spans="1:3">
      <c r="A24" s="26"/>
      <c r="B24" s="37"/>
      <c r="C24" s="39" t="s">
        <v>34</v>
      </c>
    </row>
    <row r="25" spans="1:3">
      <c r="A25" s="26"/>
      <c r="B25" s="37"/>
      <c r="C25" s="39" t="s">
        <v>35</v>
      </c>
    </row>
    <row r="26" spans="1:3">
      <c r="A26" s="26"/>
      <c r="B26" s="37"/>
      <c r="C26" s="37" t="s">
        <v>33</v>
      </c>
    </row>
    <row r="27" spans="1:3">
      <c r="A27" s="26"/>
      <c r="B27" s="37"/>
      <c r="C27" s="37"/>
    </row>
    <row r="28" spans="1:3">
      <c r="A28" s="163" t="s">
        <v>36</v>
      </c>
      <c r="B28" s="164"/>
      <c r="C28" s="165"/>
    </row>
    <row r="29" spans="1:3">
      <c r="A29" s="163" t="s">
        <v>37</v>
      </c>
      <c r="B29" s="164"/>
      <c r="C29" s="165"/>
    </row>
    <row r="30" spans="1:3">
      <c r="A30" s="163" t="s">
        <v>38</v>
      </c>
      <c r="B30" s="164"/>
      <c r="C30" s="165"/>
    </row>
    <row r="31" spans="1:3">
      <c r="A31" s="163" t="s">
        <v>39</v>
      </c>
      <c r="B31" s="164"/>
      <c r="C31" s="165"/>
    </row>
    <row r="32" spans="1:3">
      <c r="A32" s="163" t="s">
        <v>40</v>
      </c>
      <c r="B32" s="164"/>
      <c r="C32" s="165"/>
    </row>
    <row r="33" spans="1:3">
      <c r="A33" s="27"/>
      <c r="B33" s="28"/>
      <c r="C33" s="29"/>
    </row>
    <row r="34" spans="1:3">
      <c r="A34" s="45" t="s">
        <v>41</v>
      </c>
      <c r="B34" s="45" t="s">
        <v>42</v>
      </c>
      <c r="C34" s="45" t="s">
        <v>43</v>
      </c>
    </row>
    <row r="35" spans="1:3">
      <c r="A35" s="46" t="s">
        <v>44</v>
      </c>
      <c r="B35" s="46">
        <v>11307</v>
      </c>
      <c r="C35" s="46">
        <v>11307</v>
      </c>
    </row>
    <row r="36" spans="1:3">
      <c r="A36" s="46" t="s">
        <v>45</v>
      </c>
      <c r="B36" s="30" t="s">
        <v>46</v>
      </c>
      <c r="C36" s="46" t="s">
        <v>47</v>
      </c>
    </row>
    <row r="37" spans="1:3">
      <c r="A37" s="31" t="s">
        <v>48</v>
      </c>
      <c r="B37" s="30" t="s">
        <v>46</v>
      </c>
      <c r="C37" s="46" t="s">
        <v>49</v>
      </c>
    </row>
    <row r="38" spans="1:3">
      <c r="A38" s="31" t="s">
        <v>50</v>
      </c>
      <c r="B38" s="32" t="s">
        <v>51</v>
      </c>
      <c r="C38" s="33" t="s">
        <v>52</v>
      </c>
    </row>
    <row r="39" spans="1:3">
      <c r="A39" s="34" t="s">
        <v>53</v>
      </c>
      <c r="B39" s="35" t="s">
        <v>54</v>
      </c>
      <c r="C39" s="47"/>
    </row>
    <row r="40" spans="1:3">
      <c r="A40" s="28"/>
      <c r="B40" s="28"/>
      <c r="C40" s="28"/>
    </row>
    <row r="41" spans="1:3">
      <c r="A41" s="160" t="s">
        <v>55</v>
      </c>
      <c r="B41" s="161"/>
      <c r="C41" s="162"/>
    </row>
    <row r="42" spans="1:3">
      <c r="A42" s="160" t="s">
        <v>56</v>
      </c>
      <c r="B42" s="161"/>
      <c r="C42" s="162"/>
    </row>
    <row r="43" spans="1:3">
      <c r="A43" s="28"/>
      <c r="B43" s="28"/>
      <c r="C43" s="28"/>
    </row>
    <row r="44" spans="1:3">
      <c r="A44" s="24" t="s">
        <v>0</v>
      </c>
      <c r="B44" s="24" t="s">
        <v>1</v>
      </c>
      <c r="C44" s="24" t="s">
        <v>2</v>
      </c>
    </row>
    <row r="45" spans="1:3">
      <c r="A45" s="41" t="s">
        <v>57</v>
      </c>
      <c r="B45" s="25" t="s">
        <v>31</v>
      </c>
      <c r="C45" s="25" t="s">
        <v>58</v>
      </c>
    </row>
    <row r="46" spans="1:3">
      <c r="A46" s="36" t="s">
        <v>59</v>
      </c>
      <c r="B46" s="42" t="s">
        <v>60</v>
      </c>
      <c r="C46" s="42" t="s">
        <v>61</v>
      </c>
    </row>
    <row r="47" spans="1:3">
      <c r="A47" s="36" t="s">
        <v>62</v>
      </c>
      <c r="B47" s="37" t="s">
        <v>60</v>
      </c>
      <c r="C47" s="43">
        <v>44931</v>
      </c>
    </row>
    <row r="48" spans="1:3">
      <c r="A48" s="36" t="s">
        <v>63</v>
      </c>
      <c r="B48" s="43">
        <v>44931</v>
      </c>
      <c r="C48" s="43">
        <v>44931</v>
      </c>
    </row>
    <row r="49" spans="1:3">
      <c r="A49" s="36" t="s">
        <v>64</v>
      </c>
      <c r="B49" s="44">
        <v>152362</v>
      </c>
      <c r="C49" s="44">
        <v>476464</v>
      </c>
    </row>
    <row r="50" spans="1:3">
      <c r="A50" s="36" t="s">
        <v>65</v>
      </c>
      <c r="B50" s="37" t="s">
        <v>60</v>
      </c>
      <c r="C50" s="39">
        <v>7.58</v>
      </c>
    </row>
    <row r="51" spans="1:3">
      <c r="A51" s="36" t="s">
        <v>66</v>
      </c>
      <c r="B51" s="37" t="s">
        <v>60</v>
      </c>
      <c r="C51" s="39">
        <v>6821.34</v>
      </c>
    </row>
    <row r="52" spans="1:3">
      <c r="A52" s="36" t="s">
        <v>67</v>
      </c>
      <c r="B52" s="37" t="s">
        <v>68</v>
      </c>
      <c r="C52" s="37" t="s">
        <v>69</v>
      </c>
    </row>
    <row r="53" spans="1:3">
      <c r="A53" s="36" t="s">
        <v>70</v>
      </c>
      <c r="B53" s="37" t="s">
        <v>71</v>
      </c>
      <c r="C53" s="37" t="s">
        <v>71</v>
      </c>
    </row>
    <row r="54" spans="1:3">
      <c r="A54" s="36" t="s">
        <v>72</v>
      </c>
      <c r="B54" s="37"/>
      <c r="C54" s="39"/>
    </row>
    <row r="55" spans="1:3">
      <c r="A55" s="36" t="s">
        <v>73</v>
      </c>
      <c r="B55" s="37"/>
      <c r="C55" s="39"/>
    </row>
    <row r="56" spans="1:3">
      <c r="A56" s="36" t="s">
        <v>74</v>
      </c>
      <c r="B56" s="37"/>
      <c r="C56" s="39"/>
    </row>
    <row r="57" spans="1:3">
      <c r="A57" s="36" t="s">
        <v>75</v>
      </c>
      <c r="B57" s="37"/>
      <c r="C57" s="48"/>
    </row>
    <row r="58" spans="1:3">
      <c r="A58" s="36" t="s">
        <v>76</v>
      </c>
      <c r="B58" s="37"/>
      <c r="C58" s="39"/>
    </row>
    <row r="62" spans="1:3" ht="15">
      <c r="A62" s="150" t="s">
        <v>77</v>
      </c>
      <c r="B62" s="150"/>
      <c r="C62" s="150"/>
    </row>
    <row r="63" spans="1:3" ht="15">
      <c r="A63" s="150" t="s">
        <v>78</v>
      </c>
      <c r="B63" s="150"/>
      <c r="C63" s="150"/>
    </row>
    <row r="64" spans="1:3" ht="15">
      <c r="A64" s="151" t="s">
        <v>79</v>
      </c>
      <c r="B64" s="150"/>
      <c r="C64" s="150"/>
    </row>
    <row r="65" spans="1:3" ht="15">
      <c r="A65" s="151" t="s">
        <v>80</v>
      </c>
      <c r="B65" s="150"/>
      <c r="C65" s="150"/>
    </row>
    <row r="66" spans="1:3" ht="15">
      <c r="A66" s="150" t="s">
        <v>81</v>
      </c>
      <c r="B66" s="150"/>
      <c r="C66" s="150"/>
    </row>
    <row r="67" spans="1:3" ht="15">
      <c r="A67" s="151" t="s">
        <v>82</v>
      </c>
      <c r="B67" s="150"/>
      <c r="C67" s="150"/>
    </row>
    <row r="68" spans="1:3" ht="15">
      <c r="A68" s="151" t="s">
        <v>83</v>
      </c>
      <c r="B68" s="150"/>
      <c r="C68" s="150"/>
    </row>
    <row r="69" spans="1:3" ht="15">
      <c r="A69" s="151" t="s">
        <v>84</v>
      </c>
      <c r="B69" s="150"/>
      <c r="C69" s="150"/>
    </row>
    <row r="70" spans="1:3" ht="15">
      <c r="A70" s="151" t="s">
        <v>85</v>
      </c>
      <c r="B70" s="150"/>
      <c r="C70" s="150"/>
    </row>
    <row r="71" spans="1:3" ht="15">
      <c r="A71" s="151" t="s">
        <v>86</v>
      </c>
      <c r="B71" s="150"/>
      <c r="C71" s="150"/>
    </row>
    <row r="72" spans="1:3" ht="15">
      <c r="A72" s="151" t="s">
        <v>87</v>
      </c>
      <c r="B72" s="150"/>
      <c r="C72" s="150"/>
    </row>
    <row r="73" spans="1:3" ht="15">
      <c r="A73" s="151" t="s">
        <v>88</v>
      </c>
      <c r="B73" s="150"/>
      <c r="C73" s="150"/>
    </row>
    <row r="74" spans="1:3" ht="15">
      <c r="A74" s="150" t="s">
        <v>89</v>
      </c>
      <c r="B74" s="150"/>
      <c r="C74" s="150"/>
    </row>
    <row r="75" spans="1:3" ht="15">
      <c r="A75" s="151" t="s">
        <v>90</v>
      </c>
      <c r="B75" s="150"/>
      <c r="C75" s="150"/>
    </row>
    <row r="76" spans="1:3" ht="15">
      <c r="A76" s="151" t="s">
        <v>91</v>
      </c>
      <c r="B76" s="150"/>
      <c r="C76" s="150"/>
    </row>
    <row r="77" spans="1:3" ht="15">
      <c r="A77" s="151" t="s">
        <v>92</v>
      </c>
      <c r="B77" s="150"/>
      <c r="C77" s="150"/>
    </row>
    <row r="78" spans="1:3" ht="15">
      <c r="A78" s="151" t="s">
        <v>93</v>
      </c>
      <c r="B78" s="150"/>
      <c r="C78" s="150"/>
    </row>
    <row r="79" spans="1:3" ht="15">
      <c r="A79" s="151" t="s">
        <v>94</v>
      </c>
      <c r="B79" s="150"/>
      <c r="C79" s="150"/>
    </row>
    <row r="80" spans="1:3" ht="15">
      <c r="A80" s="151" t="s">
        <v>95</v>
      </c>
      <c r="B80" s="150"/>
      <c r="C80" s="150"/>
    </row>
    <row r="81" spans="1:3" ht="15">
      <c r="A81" s="150" t="s">
        <v>96</v>
      </c>
      <c r="B81" s="150"/>
      <c r="C81" s="150"/>
    </row>
    <row r="82" spans="1:3" ht="15">
      <c r="A82" s="151" t="s">
        <v>97</v>
      </c>
      <c r="B82" s="150"/>
      <c r="C82" s="150"/>
    </row>
    <row r="83" spans="1:3" ht="15">
      <c r="A83" s="151" t="s">
        <v>98</v>
      </c>
      <c r="B83" s="150"/>
      <c r="C83" s="150"/>
    </row>
    <row r="84" spans="1:3" ht="15">
      <c r="A84" s="150" t="s">
        <v>99</v>
      </c>
      <c r="B84" s="150"/>
      <c r="C84" s="150"/>
    </row>
    <row r="85" spans="1:3" ht="15">
      <c r="A85" s="150"/>
      <c r="B85" s="151" t="s">
        <v>100</v>
      </c>
      <c r="C85" s="150"/>
    </row>
    <row r="86" spans="1:3" ht="15">
      <c r="A86" s="150"/>
      <c r="B86" s="151" t="s">
        <v>101</v>
      </c>
      <c r="C86" s="150"/>
    </row>
    <row r="87" spans="1:3" ht="15">
      <c r="A87" s="150" t="s">
        <v>102</v>
      </c>
      <c r="B87" s="150"/>
      <c r="C87" s="150"/>
    </row>
    <row r="88" spans="1:3" ht="15">
      <c r="A88" s="151" t="s">
        <v>103</v>
      </c>
      <c r="B88" s="150"/>
      <c r="C88" s="150"/>
    </row>
    <row r="89" spans="1:3" ht="15">
      <c r="A89" s="150" t="s">
        <v>104</v>
      </c>
      <c r="B89" s="150"/>
      <c r="C89" s="150"/>
    </row>
    <row r="90" spans="1:3" ht="15">
      <c r="A90" s="150" t="s">
        <v>105</v>
      </c>
      <c r="B90" s="150"/>
      <c r="C90" s="150"/>
    </row>
    <row r="91" spans="1:3" ht="15">
      <c r="A91" s="150"/>
      <c r="B91" s="150" t="s">
        <v>3</v>
      </c>
      <c r="C91" s="150"/>
    </row>
    <row r="92" spans="1:3" ht="15">
      <c r="A92" s="150"/>
      <c r="B92" s="150" t="s">
        <v>106</v>
      </c>
      <c r="C92" s="150"/>
    </row>
    <row r="93" spans="1:3" ht="15">
      <c r="A93" s="150"/>
      <c r="B93" s="150" t="s">
        <v>107</v>
      </c>
      <c r="C93" s="150"/>
    </row>
    <row r="94" spans="1:3" ht="15">
      <c r="A94" s="150"/>
      <c r="B94" s="150" t="s">
        <v>108</v>
      </c>
      <c r="C94" s="150"/>
    </row>
    <row r="95" spans="1:3" ht="15">
      <c r="A95" s="150"/>
      <c r="B95" s="151" t="s">
        <v>109</v>
      </c>
      <c r="C95" s="150"/>
    </row>
    <row r="96" spans="1:3" ht="15">
      <c r="A96" s="150" t="s">
        <v>110</v>
      </c>
      <c r="B96" s="150"/>
      <c r="C96" s="150"/>
    </row>
    <row r="97" spans="1:3" ht="15">
      <c r="A97" s="150"/>
      <c r="B97" s="150" t="s">
        <v>111</v>
      </c>
      <c r="C97" s="150"/>
    </row>
    <row r="98" spans="1:3" ht="15">
      <c r="A98" s="150"/>
      <c r="B98" s="150" t="s">
        <v>112</v>
      </c>
      <c r="C98" s="150"/>
    </row>
    <row r="99" spans="1:3" ht="15">
      <c r="A99" s="150" t="s">
        <v>113</v>
      </c>
      <c r="B99" s="150"/>
      <c r="C99" s="150"/>
    </row>
    <row r="100" spans="1:3" ht="15">
      <c r="A100" s="150">
        <v>1</v>
      </c>
      <c r="B100" s="150" t="s">
        <v>114</v>
      </c>
      <c r="C100" s="150"/>
    </row>
    <row r="101" spans="1:3" ht="15">
      <c r="A101" s="150">
        <v>2</v>
      </c>
      <c r="B101" s="150" t="s">
        <v>115</v>
      </c>
      <c r="C101" s="150"/>
    </row>
    <row r="102" spans="1:3" ht="15">
      <c r="A102" s="150"/>
      <c r="B102" s="150"/>
      <c r="C102" s="150" t="s">
        <v>116</v>
      </c>
    </row>
    <row r="103" spans="1:3" ht="15">
      <c r="A103" s="150"/>
      <c r="B103" s="150"/>
      <c r="C103" s="150" t="s">
        <v>117</v>
      </c>
    </row>
    <row r="104" spans="1:3" ht="15">
      <c r="A104" s="150">
        <v>3</v>
      </c>
      <c r="B104" s="150" t="s">
        <v>118</v>
      </c>
      <c r="C104" s="150"/>
    </row>
    <row r="105" spans="1:3" ht="15">
      <c r="A105" s="150">
        <v>4</v>
      </c>
      <c r="B105" s="150" t="s">
        <v>119</v>
      </c>
      <c r="C105" s="150"/>
    </row>
    <row r="106" spans="1:3" ht="15">
      <c r="A106" s="150"/>
      <c r="B106" s="150"/>
      <c r="C106" s="151" t="s">
        <v>120</v>
      </c>
    </row>
    <row r="107" spans="1:3" ht="15">
      <c r="A107" s="150"/>
      <c r="B107" s="150"/>
      <c r="C107" s="151" t="s">
        <v>121</v>
      </c>
    </row>
    <row r="108" spans="1:3" ht="15">
      <c r="A108" s="150" t="s">
        <v>122</v>
      </c>
      <c r="B108" s="150"/>
      <c r="C108" s="150"/>
    </row>
    <row r="109" spans="1:3" ht="15">
      <c r="A109" s="150" t="s">
        <v>123</v>
      </c>
      <c r="B109" s="150"/>
      <c r="C109" s="150"/>
    </row>
    <row r="110" spans="1:3" ht="15">
      <c r="A110" s="150" t="s">
        <v>124</v>
      </c>
      <c r="B110" s="150"/>
      <c r="C110" s="150"/>
    </row>
    <row r="111" spans="1:3" ht="15">
      <c r="A111" s="151" t="s">
        <v>125</v>
      </c>
      <c r="B111" s="150"/>
      <c r="C111" s="150"/>
    </row>
    <row r="112" spans="1:3" ht="15">
      <c r="A112" s="151" t="s">
        <v>126</v>
      </c>
      <c r="B112" s="150"/>
      <c r="C112" s="150"/>
    </row>
    <row r="113" spans="1:3" ht="15">
      <c r="A113" s="150" t="s">
        <v>127</v>
      </c>
      <c r="B113" s="150"/>
      <c r="C113" s="150"/>
    </row>
    <row r="114" spans="1:3" ht="15">
      <c r="A114" s="150" t="s">
        <v>128</v>
      </c>
      <c r="B114" s="150"/>
      <c r="C114" s="150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R37"/>
  <sheetViews>
    <sheetView showGridLines="0" tabSelected="1" workbookViewId="0">
      <selection activeCell="Q2" sqref="Q2:R2"/>
    </sheetView>
  </sheetViews>
  <sheetFormatPr defaultRowHeight="15"/>
  <cols>
    <col min="1" max="1" width="1.5703125" customWidth="1"/>
    <col min="2" max="2" width="19.42578125" bestFit="1" customWidth="1"/>
    <col min="3" max="3" width="15" style="141" bestFit="1" customWidth="1"/>
    <col min="4" max="4" width="17.42578125" style="141" bestFit="1" customWidth="1"/>
    <col min="5" max="5" width="14.7109375" style="141" bestFit="1" customWidth="1"/>
    <col min="6" max="6" width="12.85546875" style="141" bestFit="1" customWidth="1"/>
    <col min="7" max="7" width="15.42578125" style="141" bestFit="1" customWidth="1"/>
    <col min="8" max="8" width="18.7109375" bestFit="1" customWidth="1"/>
    <col min="9" max="9" width="12.5703125" bestFit="1" customWidth="1"/>
    <col min="10" max="10" width="11.28515625" bestFit="1" customWidth="1"/>
    <col min="11" max="11" width="19.7109375" bestFit="1" customWidth="1"/>
    <col min="12" max="12" width="11.42578125" bestFit="1" customWidth="1"/>
    <col min="13" max="13" width="11.28515625" bestFit="1" customWidth="1"/>
    <col min="14" max="14" width="19.42578125" bestFit="1" customWidth="1"/>
    <col min="15" max="15" width="11.42578125" bestFit="1" customWidth="1"/>
    <col min="16" max="16" width="10.7109375" bestFit="1" customWidth="1"/>
    <col min="17" max="17" width="19.42578125" bestFit="1" customWidth="1"/>
    <col min="18" max="18" width="11.42578125" bestFit="1" customWidth="1"/>
  </cols>
  <sheetData>
    <row r="1" spans="2:18" ht="18.75">
      <c r="B1" s="166" t="s">
        <v>129</v>
      </c>
      <c r="C1" s="166"/>
    </row>
    <row r="2" spans="2:18">
      <c r="K2" s="184" t="s">
        <v>130</v>
      </c>
      <c r="L2" s="184"/>
      <c r="N2" s="185" t="s">
        <v>131</v>
      </c>
      <c r="O2" s="185"/>
      <c r="Q2" s="185" t="s">
        <v>132</v>
      </c>
      <c r="R2" s="185"/>
    </row>
    <row r="3" spans="2:18">
      <c r="B3" s="144" t="s">
        <v>133</v>
      </c>
      <c r="C3" s="145" t="s">
        <v>134</v>
      </c>
      <c r="D3" s="145" t="s">
        <v>135</v>
      </c>
      <c r="E3" s="145" t="s">
        <v>136</v>
      </c>
      <c r="F3" s="145" t="s">
        <v>137</v>
      </c>
      <c r="G3" s="145" t="s">
        <v>138</v>
      </c>
      <c r="H3" s="145" t="s">
        <v>139</v>
      </c>
      <c r="I3" s="171"/>
      <c r="K3" s="143" t="s">
        <v>140</v>
      </c>
      <c r="L3" s="142">
        <f>IFERROR(
  AVERAGEIFS(
    'PEDIDO COMPRA'!$G:$G,
    'PEDIDO COMPRA'!$A:$A,"Frete Peças M",
    'PEDIDO COMPRA'!$B:$B,
    IF($K3="PONTA GROSSA","PG",
    IF($K3="CASTRO","CASTRO",
    IF($K3="ARAPOTI","ARAPOTI",
    IF($K3="TIBAGI","TIBAGI",
    IF($K3="IRATI","IRATI",
    IF($K3="PRUDENTÓPOLIS","PRUDE",
    IF($K3="GUARAPUAVA","GRPVA",
    IF($K3="QUEDAS DO IGUAÇU","QUEDAS"))))))))
  ),
0)</f>
        <v>3048.5399999999995</v>
      </c>
      <c r="N3" s="143" t="s">
        <v>140</v>
      </c>
      <c r="O3" s="142">
        <f>IFERROR(
  AVERAGEIFS(
    'PEDIDO COMPRA'!$G:$G,
    'PEDIDO COMPRA'!$A:$A,"Frete Peças T",
    'PEDIDO COMPRA'!$B:$B,
    IF($N3="PONTA GROSSA","PG",
    IF($N3="CASTRO","CASTRO",
    IF($N3="ARAPOTI","ARAPOTI",
    IF($N3="TIBAGI","TIBAGI",
    IF($N3="IRATI","IRATI",
    IF($N3="PRUDENTÓPOLIS","PRUDE",
    IF($N3="GUARAPUAVA","GRPVA",
    IF($N3="QUEDAS DO IGUAÇU","QUEDAS"))))))))
  ),
0)</f>
        <v>657.4545454545455</v>
      </c>
      <c r="Q3" s="143" t="s">
        <v>140</v>
      </c>
      <c r="R3" s="142">
        <f>IFERROR(
  AVERAGEIFS(
    'PEDIDO COMPRA'!$G:$G,
    'PEDIDO COMPRA'!$A:$A,"Munck",
    'PEDIDO COMPRA'!$B:$B,
    IF($N3="PONTA GROSSA","PG",
    IF($N3="CASTRO","CASTRO",
    IF($N3="ARAPOTI","ARAPOTI",
    IF($N3="TIBAGI","TIBAGI",
    IF($N3="IRATI","IRATI",
    IF($N3="PRUDENTÓPOLIS","PRUDE",
    IF($N3="GUARAPUAVA","GRPVA",
    IF($N3="QUEDAS DO IGUAÇU","QUEDAS"))))))))
  ),
0)</f>
        <v>440</v>
      </c>
    </row>
    <row r="4" spans="2:18">
      <c r="B4" s="144" t="s">
        <v>141</v>
      </c>
      <c r="C4" s="146">
        <v>1500</v>
      </c>
      <c r="D4" s="146">
        <v>1850</v>
      </c>
      <c r="E4" s="146">
        <v>2000</v>
      </c>
      <c r="F4" s="146">
        <v>800</v>
      </c>
      <c r="G4" s="146">
        <v>2200</v>
      </c>
      <c r="H4" s="146">
        <v>3000</v>
      </c>
      <c r="I4" s="172"/>
      <c r="K4" s="143" t="s">
        <v>142</v>
      </c>
      <c r="L4" s="142">
        <f>IFERROR(
  AVERAGEIFS(
    'PEDIDO COMPRA'!$G:$G,
    'PEDIDO COMPRA'!$A:$A,"Frete Peças M",
    'PEDIDO COMPRA'!$B:$B,
    IF($K4="PONTA GROSSA","PG",
    IF($K4="CASTRO","CASTRO",
    IF($K4="ARAPOTI","ARAPOTI",
    IF($K4="TIBAGI","TIBAGI",
    IF($K4="IRATI","IRATI",
    IF($K4="PRUDENTÓPOLIS","PRUDE",
    IF($K4="GUARAPUAVA","GRPVA",
    IF($K4="QUEDAS DO IGUAÇU","QUEDAS"))))))))
  ),
0)</f>
        <v>1590</v>
      </c>
      <c r="N4" s="143" t="s">
        <v>142</v>
      </c>
      <c r="O4" s="142">
        <f>IFERROR(
  AVERAGEIFS(
    'PEDIDO COMPRA'!$G:$G,
    'PEDIDO COMPRA'!$A:$A,"Frete Peças T",
    'PEDIDO COMPRA'!$B:$B,
    IF($N4="PONTA GROSSA","PG",
    IF($N4="CASTRO","CASTRO",
    IF($N4="ARAPOTI","ARAPOTI",
    IF($N4="TIBAGI","TIBAGI",
    IF($N4="IRATI","IRATI",
    IF($N4="PRUDENTÓPOLIS","PRUDE",
    IF($N4="GUARAPUAVA","GRPVA",
    IF($N4="QUEDAS DO IGUAÇU","QUEDAS"))))))))
  ),
0)</f>
        <v>850</v>
      </c>
      <c r="Q4" s="143" t="s">
        <v>142</v>
      </c>
      <c r="R4" s="142">
        <f>IFERROR(
  AVERAGEIFS(
    'PEDIDO COMPRA'!$G:$G,
    'PEDIDO COMPRA'!$A:$A,"Munck",
    'PEDIDO COMPRA'!$B:$B,
    IF($N4="PONTA GROSSA","PG",
    IF($N4="CASTRO","CASTRO",
    IF($N4="ARAPOTI","ARAPOTI",
    IF($N4="TIBAGI","TIBAGI",
    IF($N4="IRATI","IRATI",
    IF($N4="PRUDENTÓPOLIS","PRUDE",
    IF($N4="GUARAPUAVA","GRPVA",
    IF($N4="QUEDAS DO IGUAÇU","QUEDAS"))))))))
  ),
0)</f>
        <v>0</v>
      </c>
    </row>
    <row r="5" spans="2:18">
      <c r="B5" s="147" t="s">
        <v>143</v>
      </c>
      <c r="C5" s="148">
        <f>AVERAGE(C6:C7)</f>
        <v>2215.0812500000002</v>
      </c>
      <c r="D5" s="148">
        <f t="shared" ref="D5:H5" si="0">AVERAGE(D6:D7)</f>
        <v>0</v>
      </c>
      <c r="E5" s="148">
        <f t="shared" si="0"/>
        <v>732</v>
      </c>
      <c r="F5" s="148">
        <f t="shared" si="0"/>
        <v>284.375</v>
      </c>
      <c r="G5" s="148">
        <f t="shared" si="0"/>
        <v>759.375</v>
      </c>
      <c r="H5" s="148">
        <f t="shared" si="0"/>
        <v>1043.75</v>
      </c>
      <c r="I5" s="173"/>
      <c r="K5" s="143" t="s">
        <v>144</v>
      </c>
      <c r="L5" s="142">
        <f>IFERROR(
  AVERAGEIFS(
    'PEDIDO COMPRA'!$G:$G,
    'PEDIDO COMPRA'!$A:$A,"Frete Peças M",
    'PEDIDO COMPRA'!$B:$B,
    IF($K5="PONTA GROSSA","PG",
    IF($K5="CASTRO","CASTRO",
    IF($K5="ARAPOTI","ARAPOTI",
    IF($K5="TIBAGI","TIBAGI",
    IF($K5="IRATI","IRATI",
    IF($K5="PRUDENTÓPOLIS","PRUDE",
    IF($K5="GUARAPUAVA","GRPVA",
    IF($K5="QUEDAS DO IGUAÇU","QUEDAS"))))))))
  ),
0)</f>
        <v>990</v>
      </c>
      <c r="N5" s="143" t="s">
        <v>144</v>
      </c>
      <c r="O5" s="142">
        <f>IFERROR(
  AVERAGEIFS(
    'PEDIDO COMPRA'!$G:$G,
    'PEDIDO COMPRA'!$A:$A,"Frete Peças T",
    'PEDIDO COMPRA'!$B:$B,
    IF($N5="PONTA GROSSA","PG",
    IF($N5="CASTRO","CASTRO",
    IF($N5="ARAPOTI","ARAPOTI",
    IF($N5="TIBAGI","TIBAGI",
    IF($N5="IRATI","IRATI",
    IF($N5="PRUDENTÓPOLIS","PRUDE",
    IF($N5="GUARAPUAVA","GRPVA",
    IF($N5="QUEDAS DO IGUAÇU","QUEDAS"))))))))
  ),
0)</f>
        <v>1100</v>
      </c>
      <c r="Q5" s="143" t="s">
        <v>144</v>
      </c>
      <c r="R5" s="142">
        <f>IFERROR(
  AVERAGEIFS(
    'PEDIDO COMPRA'!$G:$G,
    'PEDIDO COMPRA'!$A:$A,"Munck",
    'PEDIDO COMPRA'!$B:$B,
    IF($N5="PONTA GROSSA","PG",
    IF($N5="CASTRO","CASTRO",
    IF($N5="ARAPOTI","ARAPOTI",
    IF($N5="TIBAGI","TIBAGI",
    IF($N5="IRATI","IRATI",
    IF($N5="PRUDENTÓPOLIS","PRUDE",
    IF($N5="GUARAPUAVA","GRPVA",
    IF($N5="QUEDAS DO IGUAÇU","QUEDAS"))))))))
  ),
0)</f>
        <v>900</v>
      </c>
    </row>
    <row r="6" spans="2:18">
      <c r="B6" s="143" t="s">
        <v>145</v>
      </c>
      <c r="C6" s="142">
        <f>AVERAGE(C10:C17)</f>
        <v>2426.25</v>
      </c>
      <c r="D6" s="142">
        <f t="shared" ref="D6:H6" si="1">AVERAGE(D10:D17)</f>
        <v>0</v>
      </c>
      <c r="E6" s="142">
        <f t="shared" si="1"/>
        <v>264</v>
      </c>
      <c r="F6" s="142">
        <f t="shared" si="1"/>
        <v>187.5</v>
      </c>
      <c r="G6" s="142">
        <f t="shared" si="1"/>
        <v>762.5</v>
      </c>
      <c r="H6" s="142">
        <f t="shared" si="1"/>
        <v>950</v>
      </c>
      <c r="I6" s="173"/>
      <c r="K6" s="143" t="s">
        <v>146</v>
      </c>
      <c r="L6" s="142">
        <f>IFERROR(
  AVERAGEIFS(
    'PEDIDO COMPRA'!$G:$G,
    'PEDIDO COMPRA'!$A:$A,"Frete Peças M",
    'PEDIDO COMPRA'!$B:$B,
    IF($K6="PONTA GROSSA","PG",
    IF($K6="CASTRO","CASTRO",
    IF($K6="ARAPOTI","ARAPOTI",
    IF($K6="TIBAGI","TIBAGI",
    IF($K6="IRATI","IRATI",
    IF($K6="PRUDENTÓPOLIS","PRUDE",
    IF($K6="GUARAPUAVA","GRPVA",
    IF($K6="QUEDAS DO IGUAÇU","QUEDAS"))))))))
  ),
0)</f>
        <v>352</v>
      </c>
      <c r="N6" s="143" t="s">
        <v>146</v>
      </c>
      <c r="O6" s="142">
        <f>IFERROR(
  AVERAGEIFS(
    'PEDIDO COMPRA'!$G:$G,
    'PEDIDO COMPRA'!$A:$A,"Frete Peças T",
    'PEDIDO COMPRA'!$B:$B,
    IF($N6="PONTA GROSSA","PG",
    IF($N6="CASTRO","CASTRO",
    IF($N6="ARAPOTI","ARAPOTI",
    IF($N6="TIBAGI","TIBAGI",
    IF($N6="IRATI","IRATI",
    IF($N6="PRUDENTÓPOLIS","PRUDE",
    IF($N6="GUARAPUAVA","GRPVA",
    IF($N6="QUEDAS DO IGUAÇU","QUEDAS"))))))))
  ),
0)</f>
        <v>830</v>
      </c>
      <c r="Q6" s="143" t="s">
        <v>146</v>
      </c>
      <c r="R6" s="142">
        <f>IFERROR(
  AVERAGEIFS(
    'PEDIDO COMPRA'!$G:$G,
    'PEDIDO COMPRA'!$A:$A,"Munck",
    'PEDIDO COMPRA'!$B:$B,
    IF($N6="PONTA GROSSA","PG",
    IF($N6="CASTRO","CASTRO",
    IF($N6="ARAPOTI","ARAPOTI",
    IF($N6="TIBAGI","TIBAGI",
    IF($N6="IRATI","IRATI",
    IF($N6="PRUDENTÓPOLIS","PRUDE",
    IF($N6="GUARAPUAVA","GRPVA",
    IF($N6="QUEDAS DO IGUAÇU","QUEDAS"))))))))
  ),
0)</f>
        <v>0</v>
      </c>
    </row>
    <row r="7" spans="2:18">
      <c r="B7" s="143" t="s">
        <v>147</v>
      </c>
      <c r="C7" s="142">
        <f>AVERAGE(C20:C27)</f>
        <v>2003.9124999999999</v>
      </c>
      <c r="D7" s="142">
        <f t="shared" ref="D7:H7" si="2">AVERAGE(D20:D27)</f>
        <v>0</v>
      </c>
      <c r="E7" s="142">
        <f t="shared" si="2"/>
        <v>1200</v>
      </c>
      <c r="F7" s="142">
        <f t="shared" si="2"/>
        <v>381.25</v>
      </c>
      <c r="G7" s="142">
        <f>AVERAGE(G20:G27)</f>
        <v>756.25</v>
      </c>
      <c r="H7" s="142">
        <f t="shared" si="2"/>
        <v>1137.5</v>
      </c>
      <c r="I7" s="173"/>
      <c r="K7" s="143" t="s">
        <v>148</v>
      </c>
      <c r="L7" s="142">
        <f>IFERROR(
  AVERAGEIFS(
    'PEDIDO COMPRA'!$G:$G,
    'PEDIDO COMPRA'!$A:$A,"Frete Peças M",
    'PEDIDO COMPRA'!$B:$B,
    IF($K7="PONTA GROSSA","PG",
    IF($K7="CASTRO","CASTRO",
    IF($K7="ARAPOTI","ARAPOTI",
    IF($K7="TIBAGI","TIBAGI",
    IF($K7="IRATI","IRATI",
    IF($K7="PRUDENTÓPOLIS","PRUDE",
    IF($K7="GUARAPUAVA","GRPVA",
    IF($K7="QUEDAS DO IGUAÇU","QUEDAS"))))))))
  ),
0)</f>
        <v>180</v>
      </c>
      <c r="N7" s="143" t="s">
        <v>148</v>
      </c>
      <c r="O7" s="142">
        <f>IFERROR(
  AVERAGEIFS(
    'PEDIDO COMPRA'!$G:$G,
    'PEDIDO COMPRA'!$A:$A,"Frete Peças T",
    'PEDIDO COMPRA'!$B:$B,
    IF($N7="PONTA GROSSA","PG",
    IF($N7="CASTRO","CASTRO",
    IF($N7="ARAPOTI","ARAPOTI",
    IF($N7="TIBAGI","TIBAGI",
    IF($N7="IRATI","IRATI",
    IF($N7="PRUDENTÓPOLIS","PRUDE",
    IF($N7="GUARAPUAVA","GRPVA",
    IF($N7="QUEDAS DO IGUAÇU","QUEDAS"))))))))
  ),
0)</f>
        <v>550</v>
      </c>
      <c r="Q7" s="143" t="s">
        <v>148</v>
      </c>
      <c r="R7" s="142">
        <f>IFERROR(
  AVERAGEIFS(
    'PEDIDO COMPRA'!$G:$G,
    'PEDIDO COMPRA'!$A:$A,"Munck",
    'PEDIDO COMPRA'!$B:$B,
    IF($N7="PONTA GROSSA","PG",
    IF($N7="CASTRO","CASTRO",
    IF($N7="ARAPOTI","ARAPOTI",
    IF($N7="TIBAGI","TIBAGI",
    IF($N7="IRATI","IRATI",
    IF($N7="PRUDENTÓPOLIS","PRUDE",
    IF($N7="GUARAPUAVA","GRPVA",
    IF($N7="QUEDAS DO IGUAÇU","QUEDAS"))))))))
  ),
0)</f>
        <v>1262</v>
      </c>
    </row>
    <row r="8" spans="2:18">
      <c r="K8" s="143" t="s">
        <v>149</v>
      </c>
      <c r="L8" s="142">
        <f>IFERROR(
  AVERAGEIFS(
    'PEDIDO COMPRA'!$G:$G,
    'PEDIDO COMPRA'!$A:$A,"Frete Peças M",
    'PEDIDO COMPRA'!$B:$B,
    IF($K8="PONTA GROSSA","PG",
    IF($K8="CASTRO","CASTRO",
    IF($K8="ARAPOTI","ARAPOTI",
    IF($K8="TIBAGI","TIBAGI",
    IF($K8="IRATI","IRATI",
    IF($K8="PRUDENTÓPOLIS","PRUDE",
    IF($K8="GUARAPUAVA","GRPVA",
    IF($K8="QUEDAS DO IGUAÇU","QUEDAS"))))))))
  ),
0)</f>
        <v>365</v>
      </c>
      <c r="N8" s="143" t="s">
        <v>149</v>
      </c>
      <c r="O8" s="142">
        <f>IFERROR(
  AVERAGEIFS(
    'PEDIDO COMPRA'!$G:$G,
    'PEDIDO COMPRA'!$A:$A,"Frete Peças T",
    'PEDIDO COMPRA'!$B:$B,
    IF($N8="PONTA GROSSA","PG",
    IF($N8="CASTRO","CASTRO",
    IF($N8="ARAPOTI","ARAPOTI",
    IF($N8="TIBAGI","TIBAGI",
    IF($N8="IRATI","IRATI",
    IF($N8="PRUDENTÓPOLIS","PRUDE",
    IF($N8="GUARAPUAVA","GRPVA",
    IF($N8="QUEDAS DO IGUAÇU","QUEDAS"))))))))
  ),
0)</f>
        <v>550</v>
      </c>
      <c r="Q8" s="143" t="s">
        <v>149</v>
      </c>
      <c r="R8" s="142">
        <f>IFERROR(
  AVERAGEIFS(
    'PEDIDO COMPRA'!$G:$G,
    'PEDIDO COMPRA'!$A:$A,"Munck",
    'PEDIDO COMPRA'!$B:$B,
    IF($N8="PONTA GROSSA","PG",
    IF($N8="CASTRO","CASTRO",
    IF($N8="ARAPOTI","ARAPOTI",
    IF($N8="TIBAGI","TIBAGI",
    IF($N8="IRATI","IRATI",
    IF($N8="PRUDENTÓPOLIS","PRUDE",
    IF($N8="GUARAPUAVA","GRPVA",
    IF($N8="QUEDAS DO IGUAÇU","QUEDAS"))))))))
  ),
0)</f>
        <v>0</v>
      </c>
    </row>
    <row r="9" spans="2:18">
      <c r="B9" t="s">
        <v>150</v>
      </c>
      <c r="K9" s="143" t="s">
        <v>151</v>
      </c>
      <c r="L9" s="142">
        <f>IFERROR(
  AVERAGEIFS(
    'PEDIDO COMPRA'!$G:$G,
    'PEDIDO COMPRA'!$A:$A,"Frete Peças M",
    'PEDIDO COMPRA'!$B:$B,
    IF($K9="PONTA GROSSA","PG",
    IF($K9="CASTRO","CASTRO",
    IF($K9="ARAPOTI","ARAPOTI",
    IF($K9="TIBAGI","TIBAGI",
    IF($K9="IRATI","IRATI",
    IF($K9="PRUDENTÓPOLIS","PRUDE",
    IF($K9="GUARAPUAVA","GRPVA",
    IF($K9="QUEDAS DO IGUAÇU","QUEDAS"))))))))
  ),
0)</f>
        <v>360</v>
      </c>
      <c r="N9" s="143" t="s">
        <v>151</v>
      </c>
      <c r="O9" s="142">
        <f>IFERROR(
  AVERAGEIFS(
    'PEDIDO COMPRA'!$G:$G,
    'PEDIDO COMPRA'!$A:$A,"Frete Peças T",
    'PEDIDO COMPRA'!$B:$B,
    IF($N9="PONTA GROSSA","PG",
    IF($N9="CASTRO","CASTRO",
    IF($N9="ARAPOTI","ARAPOTI",
    IF($N9="TIBAGI","TIBAGI",
    IF($N9="IRATI","IRATI",
    IF($N9="PRUDENTÓPOLIS","PRUDE",
    IF($N9="GUARAPUAVA","GRPVA",
    IF($N9="QUEDAS DO IGUAÇU","QUEDAS"))))))))
  ),
0)</f>
        <v>1100</v>
      </c>
      <c r="Q9" s="143" t="s">
        <v>151</v>
      </c>
      <c r="R9" s="142">
        <f>IFERROR(
  AVERAGEIFS(
    'PEDIDO COMPRA'!$G:$G,
    'PEDIDO COMPRA'!$A:$A,"Munck",
    'PEDIDO COMPRA'!$B:$B,
    IF($N9="PONTA GROSSA","PG",
    IF($N9="CASTRO","CASTRO",
    IF($N9="ARAPOTI","ARAPOTI",
    IF($N9="TIBAGI","TIBAGI",
    IF($N9="IRATI","IRATI",
    IF($N9="PRUDENTÓPOLIS","PRUDE",
    IF($N9="GUARAPUAVA","GRPVA",
    IF($N9="QUEDAS DO IGUAÇU","QUEDAS"))))))))
  ),
0)</f>
        <v>270</v>
      </c>
    </row>
    <row r="10" spans="2:18">
      <c r="B10" s="143" t="s">
        <v>140</v>
      </c>
      <c r="C10" s="142">
        <f>IFERROR(
  SUMIFS(
    'FRETE MÁQUINAS'!$E:$E,
    'FRETE MÁQUINAS'!$R:$R,$B10,
    'FRETE MÁQUINAS'!$S:$S,C$3,
    'FRETE MÁQUINAS'!$A:$A,"CONCLUIDO*"
  )
 +SUMIFS(
    'FRETE MÁQUINAS'!$E:$E,
    'FRETE MÁQUINAS'!$R:$R,$B10,
    'FRETE MÁQUINAS'!$S:$S,C$3,
    'FRETE MÁQUINAS'!$A:$A,"PROGRAMADO*"
  )
 +SUMIFS(
    'FRETE MÁQUINAS'!$E:$E,
    'FRETE MÁQUINAS'!$R:$R,$B10,
    'FRETE MÁQUINAS'!$S:$S,C$3,
    'FRETE MÁQUINAS'!$A:$A,"EM ROTA*"
  ),
0)</f>
        <v>2634</v>
      </c>
      <c r="D10" s="142">
        <f>IFERROR(
  SUMIFS(
    'FRETE MÁQUINAS'!$E:$E,
    'FRETE MÁQUINAS'!$R:$R,$B10,
    'FRETE MÁQUINAS'!$S:$S,D$3,
    'FRETE MÁQUINAS'!$A:$A,"CONCLUIDO*"
  )
 +SUMIFS(
    'FRETE MÁQUINAS'!$E:$E,
    'FRETE MÁQUINAS'!$R:$R,$B10,
    'FRETE MÁQUINAS'!$S:$S,D$3,
    'FRETE MÁQUINAS'!$A:$A,"PROGRAMADO*"
  )
 +SUMIFS(
    'FRETE MÁQUINAS'!$E:$E,
    'FRETE MÁQUINAS'!$R:$R,$B10,
    'FRETE MÁQUINAS'!$S:$S,D$3,
    'FRETE MÁQUINAS'!$A:$A,"EM ROTA*"
  ),
0)</f>
        <v>0</v>
      </c>
      <c r="E10" s="142">
        <f>IFERROR(
  SUMIFS(
    'FRETE MÁQUINAS'!$E:$E,
    'FRETE MÁQUINAS'!$R:$R,$B10,
    'FRETE MÁQUINAS'!$S:$S,E$3,
    'FRETE MÁQUINAS'!$A:$A,"CONCLUIDO*"
  )
 +SUMIFS(
    'FRETE MÁQUINAS'!$E:$E,
    'FRETE MÁQUINAS'!$R:$R,$B10,
    'FRETE MÁQUINAS'!$S:$S,E$3,
    'FRETE MÁQUINAS'!$A:$A,"PROGRAMADO*"
  )
 +SUMIFS(
    'FRETE MÁQUINAS'!$E:$E,
    'FRETE MÁQUINAS'!$R:$R,$B10,
    'FRETE MÁQUINAS'!$S:$S,E$3,
    'FRETE MÁQUINAS'!$A:$A,"EM ROTA*"
  ),
0)</f>
        <v>2112</v>
      </c>
      <c r="F10" s="142">
        <f>IFERROR(
  SUMIFS(
    'FRETE MÁQUINAS'!$E:$E,
    'FRETE MÁQUINAS'!$R:$R,$B10,
    'FRETE MÁQUINAS'!$S:$S,F$3,
    'FRETE MÁQUINAS'!$A:$A,"CONCLUIDO*"
  )
 +SUMIFS(
    'FRETE MÁQUINAS'!$E:$E,
    'FRETE MÁQUINAS'!$R:$R,$B10,
    'FRETE MÁQUINAS'!$S:$S,F$3,
    'FRETE MÁQUINAS'!$A:$A,"PROGRAMADO*"
  )
 +SUMIFS(
    'FRETE MÁQUINAS'!$E:$E,
    'FRETE MÁQUINAS'!$R:$R,$B10,
    'FRETE MÁQUINAS'!$S:$S,F$3,
    'FRETE MÁQUINAS'!$A:$A,"EM ROTA*"
  ),
0)</f>
        <v>700</v>
      </c>
      <c r="G10" s="142">
        <f>IFERROR(
  SUMIFS(
    'FRETE MÁQUINAS'!$E:$E,
    'FRETE MÁQUINAS'!$R:$R,$B10,
    'FRETE MÁQUINAS'!$S:$S,G$3,
    'FRETE MÁQUINAS'!$A:$A,"CONCLUIDO*"
  )
 +SUMIFS(
    'FRETE MÁQUINAS'!$E:$E,
    'FRETE MÁQUINAS'!$R:$R,$B10,
    'FRETE MÁQUINAS'!$S:$S,G$3,
    'FRETE MÁQUINAS'!$A:$A,"PROGRAMADO*"
  )
 +SUMIFS(
    'FRETE MÁQUINAS'!$E:$E,
    'FRETE MÁQUINAS'!$R:$R,$B10,
    'FRETE MÁQUINAS'!$S:$S,G$3,
    'FRETE MÁQUINAS'!$A:$A,"EM ROTA*"
  ),
0)</f>
        <v>1950</v>
      </c>
      <c r="H10" s="142">
        <f>SUM(F10:G10)</f>
        <v>2650</v>
      </c>
      <c r="I10" s="173">
        <f>SUM(C10:G10)</f>
        <v>7396</v>
      </c>
      <c r="K10" s="143" t="s">
        <v>152</v>
      </c>
      <c r="L10" s="142">
        <f>IFERROR(
  AVERAGEIFS(
    'PEDIDO COMPRA'!$G:$G,
    'PEDIDO COMPRA'!$A:$A,"Frete Peças M",
    'PEDIDO COMPRA'!$B:$B,
    IF($K10="PONTA GROSSA","PG",
    IF($K10="CASTRO","CASTRO",
    IF($K10="ARAPOTI","ARAPOTI",
    IF($K10="TIBAGI","TIBAGI",
    IF($K10="IRATI","IRATI",
    IF($K10="PRUDENTÓPOLIS","PRUDE",
    IF($K10="GUARAPUAVA","GRPVA",
    IF($K10="QUEDAS DO IGUAÇU","QUEDAS"))))))))
  ),
0)</f>
        <v>0</v>
      </c>
      <c r="N10" s="143" t="s">
        <v>152</v>
      </c>
      <c r="O10" s="142">
        <f>IFERROR(
  AVERAGEIFS(
    'PEDIDO COMPRA'!$G:$G,
    'PEDIDO COMPRA'!$A:$A,"Frete Peças T",
    'PEDIDO COMPRA'!$B:$B,
    IF($N10="PONTA GROSSA","PG",
    IF($N10="CASTRO","CASTRO",
    IF($N10="ARAPOTI","ARAPOTI",
    IF($N10="TIBAGI","TIBAGI",
    IF($N10="IRATI","IRATI",
    IF($N10="PRUDENTÓPOLIS","PRUDE",
    IF($N10="GUARAPUAVA","GRPVA",
    IF($N10="QUEDAS DO IGUAÇU","QUEDAS"))))))))
  ),
0)</f>
        <v>0</v>
      </c>
      <c r="Q10" s="143" t="s">
        <v>152</v>
      </c>
      <c r="R10" s="142">
        <f>IFERROR(
  AVERAGEIFS(
    'PEDIDO COMPRA'!$G:$G,
    'PEDIDO COMPRA'!$A:$A,"Munck",
    'PEDIDO COMPRA'!$B:$B,
    IF($N10="PONTA GROSSA","PG",
    IF($N10="CASTRO","CASTRO",
    IF($N10="ARAPOTI","ARAPOTI",
    IF($N10="TIBAGI","TIBAGI",
    IF($N10="IRATI","IRATI",
    IF($N10="PRUDENTÓPOLIS","PRUDE",
    IF($N10="GUARAPUAVA","GRPVA",
    IF($N10="QUEDAS DO IGUAÇU","QUEDAS"))))))))
  ),
0)</f>
        <v>0</v>
      </c>
    </row>
    <row r="11" spans="2:18">
      <c r="B11" s="143" t="s">
        <v>142</v>
      </c>
      <c r="C11" s="142">
        <f>IFERROR(
  SUMIFS(
    'FRETE MÁQUINAS'!$E:$E,
    'FRETE MÁQUINAS'!$R:$R,$B11,
    'FRETE MÁQUINAS'!$S:$S,C$3,
    'FRETE MÁQUINAS'!$A:$A,"CONCLUIDO*"
  )
 +SUMIFS(
    'FRETE MÁQUINAS'!$E:$E,
    'FRETE MÁQUINAS'!$R:$R,$B11,
    'FRETE MÁQUINAS'!$S:$S,C$3,
    'FRETE MÁQUINAS'!$A:$A,"PROGRAMADO*"
  )
 +SUMIFS(
    'FRETE MÁQUINAS'!$E:$E,
    'FRETE MÁQUINAS'!$R:$R,$B11,
    'FRETE MÁQUINAS'!$S:$S,C$3,
    'FRETE MÁQUINAS'!$A:$A,"EM ROTA*"
  ),
0)</f>
        <v>0</v>
      </c>
      <c r="D11" s="142">
        <f>IFERROR(
  SUMIFS(
    'FRETE MÁQUINAS'!$E:$E,
    'FRETE MÁQUINAS'!$R:$R,$B11,
    'FRETE MÁQUINAS'!$S:$S,D$3,
    'FRETE MÁQUINAS'!$A:$A,"CONCLUIDO*"
  )
 +SUMIFS(
    'FRETE MÁQUINAS'!$E:$E,
    'FRETE MÁQUINAS'!$R:$R,$B11,
    'FRETE MÁQUINAS'!$S:$S,D$3,
    'FRETE MÁQUINAS'!$A:$A,"PROGRAMADO*"
  )
 +SUMIFS(
    'FRETE MÁQUINAS'!$E:$E,
    'FRETE MÁQUINAS'!$R:$R,$B11,
    'FRETE MÁQUINAS'!$S:$S,D$3,
    'FRETE MÁQUINAS'!$A:$A,"EM ROTA*"
  ),
0)</f>
        <v>0</v>
      </c>
      <c r="E11" s="142">
        <f>IFERROR(
  SUMIFS(
    'FRETE MÁQUINAS'!$E:$E,
    'FRETE MÁQUINAS'!$R:$R,$B11,
    'FRETE MÁQUINAS'!$S:$S,E$3,
    'FRETE MÁQUINAS'!$A:$A,"CONCLUIDO*"
  )
 +SUMIFS(
    'FRETE MÁQUINAS'!$E:$E,
    'FRETE MÁQUINAS'!$R:$R,$B11,
    'FRETE MÁQUINAS'!$S:$S,E$3,
    'FRETE MÁQUINAS'!$A:$A,"PROGRAMADO*"
  )
 +SUMIFS(
    'FRETE MÁQUINAS'!$E:$E,
    'FRETE MÁQUINAS'!$R:$R,$B11,
    'FRETE MÁQUINAS'!$S:$S,E$3,
    'FRETE MÁQUINAS'!$A:$A,"EM ROTA*"
  ),
0)</f>
        <v>0</v>
      </c>
      <c r="F11" s="142">
        <f>IFERROR(
  SUMIFS(
    'FRETE MÁQUINAS'!$E:$E,
    'FRETE MÁQUINAS'!$R:$R,$B11,
    'FRETE MÁQUINAS'!$S:$S,F$3,
    'FRETE MÁQUINAS'!$A:$A,"CONCLUIDO*"
  )
 +SUMIFS(
    'FRETE MÁQUINAS'!$E:$E,
    'FRETE MÁQUINAS'!$R:$R,$B11,
    'FRETE MÁQUINAS'!$S:$S,F$3,
    'FRETE MÁQUINAS'!$A:$A,"PROGRAMADO*"
  )
 +SUMIFS(
    'FRETE MÁQUINAS'!$E:$E,
    'FRETE MÁQUINAS'!$R:$R,$B11,
    'FRETE MÁQUINAS'!$S:$S,F$3,
    'FRETE MÁQUINAS'!$A:$A,"EM ROTA*"
  ),
0)</f>
        <v>0</v>
      </c>
      <c r="G11" s="142">
        <f>IFERROR(
  SUMIFS(
    'FRETE MÁQUINAS'!$E:$E,
    'FRETE MÁQUINAS'!$R:$R,$B11,
    'FRETE MÁQUINAS'!$S:$S,G$3,
    'FRETE MÁQUINAS'!$A:$A,"CONCLUIDO*"
  )
 +SUMIFS(
    'FRETE MÁQUINAS'!$E:$E,
    'FRETE MÁQUINAS'!$R:$R,$B11,
    'FRETE MÁQUINAS'!$S:$S,G$3,
    'FRETE MÁQUINAS'!$A:$A,"PROGRAMADO*"
  )
 +SUMIFS(
    'FRETE MÁQUINAS'!$E:$E,
    'FRETE MÁQUINAS'!$R:$R,$B11,
    'FRETE MÁQUINAS'!$S:$S,G$3,
    'FRETE MÁQUINAS'!$A:$A,"EM ROTA*"
  ),
0)</f>
        <v>0</v>
      </c>
      <c r="H11" s="142">
        <f t="shared" ref="H11:H17" si="3">SUM(F11:G11)</f>
        <v>0</v>
      </c>
      <c r="I11" s="173">
        <f t="shared" ref="I11:I37" si="4">SUM(C11:G11)</f>
        <v>0</v>
      </c>
      <c r="M11" s="149"/>
    </row>
    <row r="12" spans="2:18">
      <c r="B12" s="143" t="s">
        <v>144</v>
      </c>
      <c r="C12" s="142">
        <f>IFERROR(
  SUMIFS(
    'FRETE MÁQUINAS'!$E:$E,
    'FRETE MÁQUINAS'!$R:$R,$B12,
    'FRETE MÁQUINAS'!$S:$S,C$3,
    'FRETE MÁQUINAS'!$A:$A,"CONCLUIDO*"
  )
 +SUMIFS(
    'FRETE MÁQUINAS'!$E:$E,
    'FRETE MÁQUINAS'!$R:$R,$B12,
    'FRETE MÁQUINAS'!$S:$S,C$3,
    'FRETE MÁQUINAS'!$A:$A,"PROGRAMADO*"
  )
 +SUMIFS(
    'FRETE MÁQUINAS'!$E:$E,
    'FRETE MÁQUINAS'!$R:$R,$B12,
    'FRETE MÁQUINAS'!$S:$S,C$3,
    'FRETE MÁQUINAS'!$A:$A,"EM ROTA*"
  ),
0)</f>
        <v>8544</v>
      </c>
      <c r="D12" s="142">
        <f>IFERROR(
  SUMIFS(
    'FRETE MÁQUINAS'!$E:$E,
    'FRETE MÁQUINAS'!$R:$R,$B12,
    'FRETE MÁQUINAS'!$S:$S,D$3,
    'FRETE MÁQUINAS'!$A:$A,"CONCLUIDO*"
  )
 +SUMIFS(
    'FRETE MÁQUINAS'!$E:$E,
    'FRETE MÁQUINAS'!$R:$R,$B12,
    'FRETE MÁQUINAS'!$S:$S,D$3,
    'FRETE MÁQUINAS'!$A:$A,"PROGRAMADO*"
  )
 +SUMIFS(
    'FRETE MÁQUINAS'!$E:$E,
    'FRETE MÁQUINAS'!$R:$R,$B12,
    'FRETE MÁQUINAS'!$S:$S,D$3,
    'FRETE MÁQUINAS'!$A:$A,"EM ROTA*"
  ),
0)</f>
        <v>0</v>
      </c>
      <c r="E12" s="142">
        <f>IFERROR(
  SUMIFS(
    'FRETE MÁQUINAS'!$E:$E,
    'FRETE MÁQUINAS'!$R:$R,$B12,
    'FRETE MÁQUINAS'!$S:$S,E$3,
    'FRETE MÁQUINAS'!$A:$A,"CONCLUIDO*"
  )
 +SUMIFS(
    'FRETE MÁQUINAS'!$E:$E,
    'FRETE MÁQUINAS'!$R:$R,$B12,
    'FRETE MÁQUINAS'!$S:$S,E$3,
    'FRETE MÁQUINAS'!$A:$A,"PROGRAMADO*"
  )
 +SUMIFS(
    'FRETE MÁQUINAS'!$E:$E,
    'FRETE MÁQUINAS'!$R:$R,$B12,
    'FRETE MÁQUINAS'!$S:$S,E$3,
    'FRETE MÁQUINAS'!$A:$A,"EM ROTA*"
  ),
0)</f>
        <v>0</v>
      </c>
      <c r="F12" s="142">
        <f>IFERROR(
  SUMIFS(
    'FRETE MÁQUINAS'!$E:$E,
    'FRETE MÁQUINAS'!$R:$R,$B12,
    'FRETE MÁQUINAS'!$S:$S,F$3,
    'FRETE MÁQUINAS'!$A:$A,"CONCLUIDO*"
  )
 +SUMIFS(
    'FRETE MÁQUINAS'!$E:$E,
    'FRETE MÁQUINAS'!$R:$R,$B12,
    'FRETE MÁQUINAS'!$S:$S,F$3,
    'FRETE MÁQUINAS'!$A:$A,"PROGRAMADO*"
  )
 +SUMIFS(
    'FRETE MÁQUINAS'!$E:$E,
    'FRETE MÁQUINAS'!$R:$R,$B12,
    'FRETE MÁQUINAS'!$S:$S,F$3,
    'FRETE MÁQUINAS'!$A:$A,"EM ROTA*"
  ),
0)</f>
        <v>0</v>
      </c>
      <c r="G12" s="142">
        <f>IFERROR(
  SUMIFS(
    'FRETE MÁQUINAS'!$E:$E,
    'FRETE MÁQUINAS'!$R:$R,$B12,
    'FRETE MÁQUINAS'!$S:$S,G$3,
    'FRETE MÁQUINAS'!$A:$A,"CONCLUIDO*"
  )
 +SUMIFS(
    'FRETE MÁQUINAS'!$E:$E,
    'FRETE MÁQUINAS'!$R:$R,$B12,
    'FRETE MÁQUINAS'!$S:$S,G$3,
    'FRETE MÁQUINAS'!$A:$A,"PROGRAMADO*"
  )
 +SUMIFS(
    'FRETE MÁQUINAS'!$E:$E,
    'FRETE MÁQUINAS'!$R:$R,$B12,
    'FRETE MÁQUINAS'!$S:$S,G$3,
    'FRETE MÁQUINAS'!$A:$A,"EM ROTA*"
  ),
0)</f>
        <v>0</v>
      </c>
      <c r="H12" s="142">
        <f t="shared" si="3"/>
        <v>0</v>
      </c>
      <c r="I12" s="173">
        <f t="shared" si="4"/>
        <v>8544</v>
      </c>
      <c r="K12" t="s">
        <v>153</v>
      </c>
    </row>
    <row r="13" spans="2:18">
      <c r="B13" s="143" t="s">
        <v>146</v>
      </c>
      <c r="C13" s="142">
        <f>IFERROR(
  SUMIFS(
    'FRETE MÁQUINAS'!$E:$E,
    'FRETE MÁQUINAS'!$R:$R,$B13,
    'FRETE MÁQUINAS'!$S:$S,C$3,
    'FRETE MÁQUINAS'!$A:$A,"CONCLUIDO*"
  )
 +SUMIFS(
    'FRETE MÁQUINAS'!$E:$E,
    'FRETE MÁQUINAS'!$R:$R,$B13,
    'FRETE MÁQUINAS'!$S:$S,C$3,
    'FRETE MÁQUINAS'!$A:$A,"PROGRAMADO*"
  )
 +SUMIFS(
    'FRETE MÁQUINAS'!$E:$E,
    'FRETE MÁQUINAS'!$R:$R,$B13,
    'FRETE MÁQUINAS'!$S:$S,C$3,
    'FRETE MÁQUINAS'!$A:$A,"EM ROTA*"
  ),
0)</f>
        <v>0</v>
      </c>
      <c r="D13" s="142">
        <f>IFERROR(
  SUMIFS(
    'FRETE MÁQUINAS'!$E:$E,
    'FRETE MÁQUINAS'!$R:$R,$B13,
    'FRETE MÁQUINAS'!$S:$S,D$3,
    'FRETE MÁQUINAS'!$A:$A,"CONCLUIDO*"
  )
 +SUMIFS(
    'FRETE MÁQUINAS'!$E:$E,
    'FRETE MÁQUINAS'!$R:$R,$B13,
    'FRETE MÁQUINAS'!$S:$S,D$3,
    'FRETE MÁQUINAS'!$A:$A,"PROGRAMADO*"
  )
 +SUMIFS(
    'FRETE MÁQUINAS'!$E:$E,
    'FRETE MÁQUINAS'!$R:$R,$B13,
    'FRETE MÁQUINAS'!$S:$S,D$3,
    'FRETE MÁQUINAS'!$A:$A,"EM ROTA*"
  ),
0)</f>
        <v>0</v>
      </c>
      <c r="E13" s="142">
        <f>IFERROR(
  SUMIFS(
    'FRETE MÁQUINAS'!$E:$E,
    'FRETE MÁQUINAS'!$R:$R,$B13,
    'FRETE MÁQUINAS'!$S:$S,E$3,
    'FRETE MÁQUINAS'!$A:$A,"CONCLUIDO*"
  )
 +SUMIFS(
    'FRETE MÁQUINAS'!$E:$E,
    'FRETE MÁQUINAS'!$R:$R,$B13,
    'FRETE MÁQUINAS'!$S:$S,E$3,
    'FRETE MÁQUINAS'!$A:$A,"PROGRAMADO*"
  )
 +SUMIFS(
    'FRETE MÁQUINAS'!$E:$E,
    'FRETE MÁQUINAS'!$R:$R,$B13,
    'FRETE MÁQUINAS'!$S:$S,E$3,
    'FRETE MÁQUINAS'!$A:$A,"EM ROTA*"
  ),
0)</f>
        <v>0</v>
      </c>
      <c r="F13" s="142">
        <f>IFERROR(
  SUMIFS(
    'FRETE MÁQUINAS'!$E:$E,
    'FRETE MÁQUINAS'!$R:$R,$B13,
    'FRETE MÁQUINAS'!$S:$S,F$3,
    'FRETE MÁQUINAS'!$A:$A,"CONCLUIDO*"
  )
 +SUMIFS(
    'FRETE MÁQUINAS'!$E:$E,
    'FRETE MÁQUINAS'!$R:$R,$B13,
    'FRETE MÁQUINAS'!$S:$S,F$3,
    'FRETE MÁQUINAS'!$A:$A,"PROGRAMADO*"
  )
 +SUMIFS(
    'FRETE MÁQUINAS'!$E:$E,
    'FRETE MÁQUINAS'!$R:$R,$B13,
    'FRETE MÁQUINAS'!$S:$S,F$3,
    'FRETE MÁQUINAS'!$A:$A,"EM ROTA*"
  ),
0)</f>
        <v>0</v>
      </c>
      <c r="G13" s="142">
        <f>IFERROR(
  SUMIFS(
    'FRETE MÁQUINAS'!$E:$E,
    'FRETE MÁQUINAS'!$R:$R,$B13,
    'FRETE MÁQUINAS'!$S:$S,G$3,
    'FRETE MÁQUINAS'!$A:$A,"CONCLUIDO*"
  )
 +SUMIFS(
    'FRETE MÁQUINAS'!$E:$E,
    'FRETE MÁQUINAS'!$R:$R,$B13,
    'FRETE MÁQUINAS'!$S:$S,G$3,
    'FRETE MÁQUINAS'!$A:$A,"PROGRAMADO*"
  )
 +SUMIFS(
    'FRETE MÁQUINAS'!$E:$E,
    'FRETE MÁQUINAS'!$R:$R,$B13,
    'FRETE MÁQUINAS'!$S:$S,G$3,
    'FRETE MÁQUINAS'!$A:$A,"EM ROTA*"
  ),
0)</f>
        <v>0</v>
      </c>
      <c r="H13" s="142">
        <f t="shared" si="3"/>
        <v>0</v>
      </c>
      <c r="I13" s="173">
        <f t="shared" si="4"/>
        <v>0</v>
      </c>
      <c r="K13" s="83" t="s">
        <v>154</v>
      </c>
      <c r="L13" s="142">
        <f>IFERROR(
  SUMIF(
    'PEDIDO COMPRA'!$A:$A,"Manutenção VW",
    'PEDIDO COMPRA'!$G:$G
  ),
0)</f>
        <v>6290.24</v>
      </c>
    </row>
    <row r="14" spans="2:18">
      <c r="B14" s="143" t="s">
        <v>148</v>
      </c>
      <c r="C14" s="142">
        <f>IFERROR(
  SUMIFS(
    'FRETE MÁQUINAS'!$E:$E,
    'FRETE MÁQUINAS'!$R:$R,$B14,
    'FRETE MÁQUINAS'!$S:$S,C$3,
    'FRETE MÁQUINAS'!$A:$A,"CONCLUIDO*"
  )
 +SUMIFS(
    'FRETE MÁQUINAS'!$E:$E,
    'FRETE MÁQUINAS'!$R:$R,$B14,
    'FRETE MÁQUINAS'!$S:$S,C$3,
    'FRETE MÁQUINAS'!$A:$A,"PROGRAMADO*"
  )
 +SUMIFS(
    'FRETE MÁQUINAS'!$E:$E,
    'FRETE MÁQUINAS'!$R:$R,$B14,
    'FRETE MÁQUINAS'!$S:$S,C$3,
    'FRETE MÁQUINAS'!$A:$A,"EM ROTA*"
  ),
0)</f>
        <v>8232</v>
      </c>
      <c r="D14" s="142">
        <f>IFERROR(
  SUMIFS(
    'FRETE MÁQUINAS'!$E:$E,
    'FRETE MÁQUINAS'!$R:$R,$B14,
    'FRETE MÁQUINAS'!$S:$S,D$3,
    'FRETE MÁQUINAS'!$A:$A,"CONCLUIDO*"
  )
 +SUMIFS(
    'FRETE MÁQUINAS'!$E:$E,
    'FRETE MÁQUINAS'!$R:$R,$B14,
    'FRETE MÁQUINAS'!$S:$S,D$3,
    'FRETE MÁQUINAS'!$A:$A,"PROGRAMADO*"
  )
 +SUMIFS(
    'FRETE MÁQUINAS'!$E:$E,
    'FRETE MÁQUINAS'!$R:$R,$B14,
    'FRETE MÁQUINAS'!$S:$S,D$3,
    'FRETE MÁQUINAS'!$A:$A,"EM ROTA*"
  ),
0)</f>
        <v>0</v>
      </c>
      <c r="E14" s="142">
        <f>IFERROR(
  SUMIFS(
    'FRETE MÁQUINAS'!$E:$E,
    'FRETE MÁQUINAS'!$R:$R,$B14,
    'FRETE MÁQUINAS'!$S:$S,E$3,
    'FRETE MÁQUINAS'!$A:$A,"CONCLUIDO*"
  )
 +SUMIFS(
    'FRETE MÁQUINAS'!$E:$E,
    'FRETE MÁQUINAS'!$R:$R,$B14,
    'FRETE MÁQUINAS'!$S:$S,E$3,
    'FRETE MÁQUINAS'!$A:$A,"PROGRAMADO*"
  )
 +SUMIFS(
    'FRETE MÁQUINAS'!$E:$E,
    'FRETE MÁQUINAS'!$R:$R,$B14,
    'FRETE MÁQUINAS'!$S:$S,E$3,
    'FRETE MÁQUINAS'!$A:$A,"EM ROTA*"
  ),
0)</f>
        <v>0</v>
      </c>
      <c r="F14" s="142">
        <f>IFERROR(
  SUMIFS(
    'FRETE MÁQUINAS'!$E:$E,
    'FRETE MÁQUINAS'!$R:$R,$B14,
    'FRETE MÁQUINAS'!$S:$S,F$3,
    'FRETE MÁQUINAS'!$A:$A,"CONCLUIDO*"
  )
 +SUMIFS(
    'FRETE MÁQUINAS'!$E:$E,
    'FRETE MÁQUINAS'!$R:$R,$B14,
    'FRETE MÁQUINAS'!$S:$S,F$3,
    'FRETE MÁQUINAS'!$A:$A,"PROGRAMADO*"
  )
 +SUMIFS(
    'FRETE MÁQUINAS'!$E:$E,
    'FRETE MÁQUINAS'!$R:$R,$B14,
    'FRETE MÁQUINAS'!$S:$S,F$3,
    'FRETE MÁQUINAS'!$A:$A,"EM ROTA*"
  ),
0)</f>
        <v>0</v>
      </c>
      <c r="G14" s="142">
        <f>IFERROR(
  SUMIFS(
    'FRETE MÁQUINAS'!$E:$E,
    'FRETE MÁQUINAS'!$R:$R,$B14,
    'FRETE MÁQUINAS'!$S:$S,G$3,
    'FRETE MÁQUINAS'!$A:$A,"CONCLUIDO*"
  )
 +SUMIFS(
    'FRETE MÁQUINAS'!$E:$E,
    'FRETE MÁQUINAS'!$R:$R,$B14,
    'FRETE MÁQUINAS'!$S:$S,G$3,
    'FRETE MÁQUINAS'!$A:$A,"PROGRAMADO*"
  )
 +SUMIFS(
    'FRETE MÁQUINAS'!$E:$E,
    'FRETE MÁQUINAS'!$R:$R,$B14,
    'FRETE MÁQUINAS'!$S:$S,G$3,
    'FRETE MÁQUINAS'!$A:$A,"EM ROTA*"
  ),
0)</f>
        <v>1950</v>
      </c>
      <c r="H14" s="142">
        <f t="shared" si="3"/>
        <v>1950</v>
      </c>
      <c r="I14" s="173">
        <f t="shared" si="4"/>
        <v>10182</v>
      </c>
      <c r="K14" s="83" t="s">
        <v>155</v>
      </c>
      <c r="L14" s="142">
        <f>IFERROR(
  SUMIF(
    'PEDIDO COMPRA'!$A:$A,"Manutenção DAF",
    'PEDIDO COMPRA'!$G:$G
  ),
0)</f>
        <v>4425.79</v>
      </c>
    </row>
    <row r="15" spans="2:18">
      <c r="B15" s="143" t="s">
        <v>149</v>
      </c>
      <c r="C15" s="142">
        <f>IFERROR(
  SUMIFS(
    'FRETE MÁQUINAS'!$E:$E,
    'FRETE MÁQUINAS'!$R:$R,$B15,
    'FRETE MÁQUINAS'!$S:$S,C$3,
    'FRETE MÁQUINAS'!$A:$A,"CONCLUIDO*"
  )
 +SUMIFS(
    'FRETE MÁQUINAS'!$E:$E,
    'FRETE MÁQUINAS'!$R:$R,$B15,
    'FRETE MÁQUINAS'!$S:$S,C$3,
    'FRETE MÁQUINAS'!$A:$A,"PROGRAMADO*"
  )
 +SUMIFS(
    'FRETE MÁQUINAS'!$E:$E,
    'FRETE MÁQUINAS'!$R:$R,$B15,
    'FRETE MÁQUINAS'!$S:$S,C$3,
    'FRETE MÁQUINAS'!$A:$A,"EM ROTA*"
  ),
0)</f>
        <v>0</v>
      </c>
      <c r="D15" s="142">
        <f>IFERROR(
  SUMIFS(
    'FRETE MÁQUINAS'!$E:$E,
    'FRETE MÁQUINAS'!$R:$R,$B15,
    'FRETE MÁQUINAS'!$S:$S,D$3,
    'FRETE MÁQUINAS'!$A:$A,"CONCLUIDO*"
  )
 +SUMIFS(
    'FRETE MÁQUINAS'!$E:$E,
    'FRETE MÁQUINAS'!$R:$R,$B15,
    'FRETE MÁQUINAS'!$S:$S,D$3,
    'FRETE MÁQUINAS'!$A:$A,"PROGRAMADO*"
  )
 +SUMIFS(
    'FRETE MÁQUINAS'!$E:$E,
    'FRETE MÁQUINAS'!$R:$R,$B15,
    'FRETE MÁQUINAS'!$S:$S,D$3,
    'FRETE MÁQUINAS'!$A:$A,"EM ROTA*"
  ),
0)</f>
        <v>0</v>
      </c>
      <c r="E15" s="142">
        <f>IFERROR(
  SUMIFS(
    'FRETE MÁQUINAS'!$E:$E,
    'FRETE MÁQUINAS'!$R:$R,$B15,
    'FRETE MÁQUINAS'!$S:$S,E$3,
    'FRETE MÁQUINAS'!$A:$A,"CONCLUIDO*"
  )
 +SUMIFS(
    'FRETE MÁQUINAS'!$E:$E,
    'FRETE MÁQUINAS'!$R:$R,$B15,
    'FRETE MÁQUINAS'!$S:$S,E$3,
    'FRETE MÁQUINAS'!$A:$A,"PROGRAMADO*"
  )
 +SUMIFS(
    'FRETE MÁQUINAS'!$E:$E,
    'FRETE MÁQUINAS'!$R:$R,$B15,
    'FRETE MÁQUINAS'!$S:$S,E$3,
    'FRETE MÁQUINAS'!$A:$A,"EM ROTA*"
  ),
0)</f>
        <v>0</v>
      </c>
      <c r="F15" s="142">
        <f>IFERROR(
  SUMIFS(
    'FRETE MÁQUINAS'!$E:$E,
    'FRETE MÁQUINAS'!$R:$R,$B15,
    'FRETE MÁQUINAS'!$S:$S,F$3,
    'FRETE MÁQUINAS'!$A:$A,"CONCLUIDO*"
  )
 +SUMIFS(
    'FRETE MÁQUINAS'!$E:$E,
    'FRETE MÁQUINAS'!$R:$R,$B15,
    'FRETE MÁQUINAS'!$S:$S,F$3,
    'FRETE MÁQUINAS'!$A:$A,"PROGRAMADO*"
  )
 +SUMIFS(
    'FRETE MÁQUINAS'!$E:$E,
    'FRETE MÁQUINAS'!$R:$R,$B15,
    'FRETE MÁQUINAS'!$S:$S,F$3,
    'FRETE MÁQUINAS'!$A:$A,"EM ROTA*"
  ),
0)</f>
        <v>0</v>
      </c>
      <c r="G15" s="142">
        <f>IFERROR(
  SUMIFS(
    'FRETE MÁQUINAS'!$E:$E,
    'FRETE MÁQUINAS'!$R:$R,$B15,
    'FRETE MÁQUINAS'!$S:$S,G$3,
    'FRETE MÁQUINAS'!$A:$A,"CONCLUIDO*"
  )
 +SUMIFS(
    'FRETE MÁQUINAS'!$E:$E,
    'FRETE MÁQUINAS'!$R:$R,$B15,
    'FRETE MÁQUINAS'!$S:$S,G$3,
    'FRETE MÁQUINAS'!$A:$A,"PROGRAMADO*"
  )
 +SUMIFS(
    'FRETE MÁQUINAS'!$E:$E,
    'FRETE MÁQUINAS'!$R:$R,$B15,
    'FRETE MÁQUINAS'!$S:$S,G$3,
    'FRETE MÁQUINAS'!$A:$A,"EM ROTA*"
  ),
0)</f>
        <v>0</v>
      </c>
      <c r="H15" s="142">
        <f t="shared" si="3"/>
        <v>0</v>
      </c>
      <c r="I15" s="173">
        <f t="shared" si="4"/>
        <v>0</v>
      </c>
      <c r="K15" t="s">
        <v>156</v>
      </c>
    </row>
    <row r="16" spans="2:18">
      <c r="B16" s="143" t="s">
        <v>151</v>
      </c>
      <c r="C16" s="142">
        <f>IFERROR(
  SUMIFS(
    'FRETE MÁQUINAS'!$E:$E,
    'FRETE MÁQUINAS'!$R:$R,$B16,
    'FRETE MÁQUINAS'!$S:$S,C$3,
    'FRETE MÁQUINAS'!$A:$A,"CONCLUIDO*"
  )
 +SUMIFS(
    'FRETE MÁQUINAS'!$E:$E,
    'FRETE MÁQUINAS'!$R:$R,$B16,
    'FRETE MÁQUINAS'!$S:$S,C$3,
    'FRETE MÁQUINAS'!$A:$A,"PROGRAMADO*"
  )
 +SUMIFS(
    'FRETE MÁQUINAS'!$E:$E,
    'FRETE MÁQUINAS'!$R:$R,$B16,
    'FRETE MÁQUINAS'!$S:$S,C$3,
    'FRETE MÁQUINAS'!$A:$A,"EM ROTA*"
  ),
0)</f>
        <v>0</v>
      </c>
      <c r="D16" s="142">
        <f>IFERROR(
  SUMIFS(
    'FRETE MÁQUINAS'!$E:$E,
    'FRETE MÁQUINAS'!$R:$R,$B16,
    'FRETE MÁQUINAS'!$S:$S,D$3,
    'FRETE MÁQUINAS'!$A:$A,"CONCLUIDO*"
  )
 +SUMIFS(
    'FRETE MÁQUINAS'!$E:$E,
    'FRETE MÁQUINAS'!$R:$R,$B16,
    'FRETE MÁQUINAS'!$S:$S,D$3,
    'FRETE MÁQUINAS'!$A:$A,"PROGRAMADO*"
  )
 +SUMIFS(
    'FRETE MÁQUINAS'!$E:$E,
    'FRETE MÁQUINAS'!$R:$R,$B16,
    'FRETE MÁQUINAS'!$S:$S,D$3,
    'FRETE MÁQUINAS'!$A:$A,"EM ROTA*"
  ),
0)</f>
        <v>0</v>
      </c>
      <c r="E16" s="142">
        <f>IFERROR(
  SUMIFS(
    'FRETE MÁQUINAS'!$E:$E,
    'FRETE MÁQUINAS'!$R:$R,$B16,
    'FRETE MÁQUINAS'!$S:$S,E$3,
    'FRETE MÁQUINAS'!$A:$A,"CONCLUIDO*"
  )
 +SUMIFS(
    'FRETE MÁQUINAS'!$E:$E,
    'FRETE MÁQUINAS'!$R:$R,$B16,
    'FRETE MÁQUINAS'!$S:$S,E$3,
    'FRETE MÁQUINAS'!$A:$A,"PROGRAMADO*"
  )
 +SUMIFS(
    'FRETE MÁQUINAS'!$E:$E,
    'FRETE MÁQUINAS'!$R:$R,$B16,
    'FRETE MÁQUINAS'!$S:$S,E$3,
    'FRETE MÁQUINAS'!$A:$A,"EM ROTA*"
  ),
0)</f>
        <v>0</v>
      </c>
      <c r="F16" s="142">
        <f>IFERROR(
  SUMIFS(
    'FRETE MÁQUINAS'!$E:$E,
    'FRETE MÁQUINAS'!$R:$R,$B16,
    'FRETE MÁQUINAS'!$S:$S,F$3,
    'FRETE MÁQUINAS'!$A:$A,"CONCLUIDO*"
  )
 +SUMIFS(
    'FRETE MÁQUINAS'!$E:$E,
    'FRETE MÁQUINAS'!$R:$R,$B16,
    'FRETE MÁQUINAS'!$S:$S,F$3,
    'FRETE MÁQUINAS'!$A:$A,"PROGRAMADO*"
  )
 +SUMIFS(
    'FRETE MÁQUINAS'!$E:$E,
    'FRETE MÁQUINAS'!$R:$R,$B16,
    'FRETE MÁQUINAS'!$S:$S,F$3,
    'FRETE MÁQUINAS'!$A:$A,"EM ROTA*"
  ),
0)</f>
        <v>800</v>
      </c>
      <c r="G16" s="142">
        <f>IFERROR(
  SUMIFS(
    'FRETE MÁQUINAS'!$E:$E,
    'FRETE MÁQUINAS'!$R:$R,$B16,
    'FRETE MÁQUINAS'!$S:$S,G$3,
    'FRETE MÁQUINAS'!$A:$A,"CONCLUIDO*"
  )
 +SUMIFS(
    'FRETE MÁQUINAS'!$E:$E,
    'FRETE MÁQUINAS'!$R:$R,$B16,
    'FRETE MÁQUINAS'!$S:$S,G$3,
    'FRETE MÁQUINAS'!$A:$A,"PROGRAMADO*"
  )
 +SUMIFS(
    'FRETE MÁQUINAS'!$E:$E,
    'FRETE MÁQUINAS'!$R:$R,$B16,
    'FRETE MÁQUINAS'!$S:$S,G$3,
    'FRETE MÁQUINAS'!$A:$A,"EM ROTA*"
  ),
0)</f>
        <v>2200</v>
      </c>
      <c r="H16" s="142">
        <f t="shared" si="3"/>
        <v>3000</v>
      </c>
      <c r="I16" s="173">
        <f t="shared" si="4"/>
        <v>3000</v>
      </c>
    </row>
    <row r="17" spans="2:9">
      <c r="B17" s="143" t="s">
        <v>152</v>
      </c>
      <c r="C17" s="142">
        <f>IFERROR(
  SUMIFS(
    'FRETE MÁQUINAS'!$E:$E,
    'FRETE MÁQUINAS'!$R:$R,$B17,
    'FRETE MÁQUINAS'!$S:$S,C$3,
    'FRETE MÁQUINAS'!$A:$A,"CONCLUIDO*"
  )
 +SUMIFS(
    'FRETE MÁQUINAS'!$E:$E,
    'FRETE MÁQUINAS'!$R:$R,$B17,
    'FRETE MÁQUINAS'!$S:$S,C$3,
    'FRETE MÁQUINAS'!$A:$A,"PROGRAMADO*"
  )
 +SUMIFS(
    'FRETE MÁQUINAS'!$E:$E,
    'FRETE MÁQUINAS'!$R:$R,$B17,
    'FRETE MÁQUINAS'!$S:$S,C$3,
    'FRETE MÁQUINAS'!$A:$A,"EM ROTA*"
  ),
0)</f>
        <v>0</v>
      </c>
      <c r="D17" s="142">
        <f>IFERROR(
  SUMIFS(
    'FRETE MÁQUINAS'!$E:$E,
    'FRETE MÁQUINAS'!$R:$R,$B17,
    'FRETE MÁQUINAS'!$S:$S,D$3,
    'FRETE MÁQUINAS'!$A:$A,"CONCLUIDO*"
  )
 +SUMIFS(
    'FRETE MÁQUINAS'!$E:$E,
    'FRETE MÁQUINAS'!$R:$R,$B17,
    'FRETE MÁQUINAS'!$S:$S,D$3,
    'FRETE MÁQUINAS'!$A:$A,"PROGRAMADO*"
  )
 +SUMIFS(
    'FRETE MÁQUINAS'!$E:$E,
    'FRETE MÁQUINAS'!$R:$R,$B17,
    'FRETE MÁQUINAS'!$S:$S,D$3,
    'FRETE MÁQUINAS'!$A:$A,"EM ROTA*"
  ),
0)</f>
        <v>0</v>
      </c>
      <c r="E17" s="142">
        <f>IFERROR(
  SUMIFS(
    'FRETE MÁQUINAS'!$E:$E,
    'FRETE MÁQUINAS'!$R:$R,$B17,
    'FRETE MÁQUINAS'!$S:$S,E$3,
    'FRETE MÁQUINAS'!$A:$A,"CONCLUIDO*"
  )
 +SUMIFS(
    'FRETE MÁQUINAS'!$E:$E,
    'FRETE MÁQUINAS'!$R:$R,$B17,
    'FRETE MÁQUINAS'!$S:$S,E$3,
    'FRETE MÁQUINAS'!$A:$A,"PROGRAMADO*"
  )
 +SUMIFS(
    'FRETE MÁQUINAS'!$E:$E,
    'FRETE MÁQUINAS'!$R:$R,$B17,
    'FRETE MÁQUINAS'!$S:$S,E$3,
    'FRETE MÁQUINAS'!$A:$A,"EM ROTA*"
  ),
0)</f>
        <v>0</v>
      </c>
      <c r="F17" s="142">
        <f>IFERROR(
  SUMIFS(
    'FRETE MÁQUINAS'!$E:$E,
    'FRETE MÁQUINAS'!$R:$R,$B17,
    'FRETE MÁQUINAS'!$S:$S,F$3,
    'FRETE MÁQUINAS'!$A:$A,"CONCLUIDO*"
  )
 +SUMIFS(
    'FRETE MÁQUINAS'!$E:$E,
    'FRETE MÁQUINAS'!$R:$R,$B17,
    'FRETE MÁQUINAS'!$S:$S,F$3,
    'FRETE MÁQUINAS'!$A:$A,"PROGRAMADO*"
  )
 +SUMIFS(
    'FRETE MÁQUINAS'!$E:$E,
    'FRETE MÁQUINAS'!$R:$R,$B17,
    'FRETE MÁQUINAS'!$S:$S,F$3,
    'FRETE MÁQUINAS'!$A:$A,"EM ROTA*"
  ),
0)</f>
        <v>0</v>
      </c>
      <c r="G17" s="142">
        <f>IFERROR(
  SUMIFS(
    'FRETE MÁQUINAS'!$E:$E,
    'FRETE MÁQUINAS'!$R:$R,$B17,
    'FRETE MÁQUINAS'!$S:$S,G$3,
    'FRETE MÁQUINAS'!$A:$A,"CONCLUIDO*"
  )
 +SUMIFS(
    'FRETE MÁQUINAS'!$E:$E,
    'FRETE MÁQUINAS'!$R:$R,$B17,
    'FRETE MÁQUINAS'!$S:$S,G$3,
    'FRETE MÁQUINAS'!$A:$A,"PROGRAMADO*"
  )
 +SUMIFS(
    'FRETE MÁQUINAS'!$E:$E,
    'FRETE MÁQUINAS'!$R:$R,$B17,
    'FRETE MÁQUINAS'!$S:$S,G$3,
    'FRETE MÁQUINAS'!$A:$A,"EM ROTA*"
  ),
0)</f>
        <v>0</v>
      </c>
      <c r="H17" s="142">
        <f t="shared" si="3"/>
        <v>0</v>
      </c>
      <c r="I17" s="173">
        <f t="shared" si="4"/>
        <v>0</v>
      </c>
    </row>
    <row r="18" spans="2:9">
      <c r="I18" s="173"/>
    </row>
    <row r="19" spans="2:9">
      <c r="B19" t="s">
        <v>157</v>
      </c>
      <c r="I19" s="173"/>
    </row>
    <row r="20" spans="2:9">
      <c r="B20" s="143" t="s">
        <v>140</v>
      </c>
      <c r="C20" s="142">
        <f>IFERROR(
  SUMIFS(
    'FRETE MÁQUINAS'!$F:$F,
    'FRETE MÁQUINAS'!$R:$R,$B20,
    'FRETE MÁQUINAS'!$S:$S,C$3,
    'FRETE MÁQUINAS'!$A:$A,"CONCLUIDO*"
  )
 +SUMIFS(
    'FRETE MÁQUINAS'!$F:$F,
    'FRETE MÁQUINAS'!$R:$R,$B20,
    'FRETE MÁQUINAS'!$S:$S,C$3,
    'FRETE MÁQUINAS'!$A:$A,"PROGRAMADO*"
  )
 +SUMIFS(
    'FRETE MÁQUINAS'!$F:$F,
    'FRETE MÁQUINAS'!$R:$R,$B20,
    'FRETE MÁQUINAS'!$S:$S,C$3,
    'FRETE MÁQUINAS'!$A:$A,"EM ROTA*"
  ),
0)</f>
        <v>0</v>
      </c>
      <c r="D20" s="142">
        <f>IFERROR(
  SUMIFS(
    'FRETE MÁQUINAS'!$F:$F,
    'FRETE MÁQUINAS'!$R:$R,$B20,
    'FRETE MÁQUINAS'!$S:$S,D$3,
    'FRETE MÁQUINAS'!$A:$A,"CONCLUIDO*"
  )
 +SUMIFS(
    'FRETE MÁQUINAS'!$F:$F,
    'FRETE MÁQUINAS'!$R:$R,$B20,
    'FRETE MÁQUINAS'!$S:$S,D$3,
    'FRETE MÁQUINAS'!$A:$A,"PROGRAMADO*"
  )
 +SUMIFS(
    'FRETE MÁQUINAS'!$F:$F,
    'FRETE MÁQUINAS'!$R:$R,$B20,
    'FRETE MÁQUINAS'!$S:$S,D$3,
    'FRETE MÁQUINAS'!$A:$A,"EM ROTA*"
  ),
0)</f>
        <v>0</v>
      </c>
      <c r="E20" s="142">
        <f>IFERROR(
  SUMIFS(
    'FRETE MÁQUINAS'!$F:$F,
    'FRETE MÁQUINAS'!$R:$R,$B20,
    'FRETE MÁQUINAS'!$S:$S,E$3,
    'FRETE MÁQUINAS'!$A:$A,"CONCLUIDO*"
  )
 +SUMIFS(
    'FRETE MÁQUINAS'!$F:$F,
    'FRETE MÁQUINAS'!$R:$R,$B20,
    'FRETE MÁQUINAS'!$S:$S,E$3,
    'FRETE MÁQUINAS'!$A:$A,"PROGRAMADO*"
  )
 +SUMIFS(
    'FRETE MÁQUINAS'!$F:$F,
    'FRETE MÁQUINAS'!$R:$R,$B20,
    'FRETE MÁQUINAS'!$S:$S,E$3,
    'FRETE MÁQUINAS'!$A:$A,"EM ROTA*"
  ),
0)</f>
        <v>0</v>
      </c>
      <c r="F20" s="142">
        <f>IFERROR(
  SUMIFS(
    'FRETE MÁQUINAS'!$F:$F,
    'FRETE MÁQUINAS'!$R:$R,$B20,
    'FRETE MÁQUINAS'!$S:$S,F$3,
    'FRETE MÁQUINAS'!$A:$A,"CONCLUIDO*"
  )
 +SUMIFS(
    'FRETE MÁQUINAS'!$F:$F,
    'FRETE MÁQUINAS'!$R:$R,$B20,
    'FRETE MÁQUINAS'!$S:$S,F$3,
    'FRETE MÁQUINAS'!$A:$A,"PROGRAMADO*"
  )
 +SUMIFS(
    'FRETE MÁQUINAS'!$F:$F,
    'FRETE MÁQUINAS'!$R:$R,$B20,
    'FRETE MÁQUINAS'!$S:$S,F$3,
    'FRETE MÁQUINAS'!$A:$A,"EM ROTA*"
  ),
0)</f>
        <v>0</v>
      </c>
      <c r="G20" s="142">
        <f>IFERROR(
  SUMIFS(
    'FRETE MÁQUINAS'!$F:$F,
    'FRETE MÁQUINAS'!$R:$R,$B20,
    'FRETE MÁQUINAS'!$S:$S,G$3,
    'FRETE MÁQUINAS'!$A:$A,"CONCLUIDO*"
  )
 +SUMIFS(
    'FRETE MÁQUINAS'!$F:$F,
    'FRETE MÁQUINAS'!$R:$R,$B20,
    'FRETE MÁQUINAS'!$S:$S,G$3,
    'FRETE MÁQUINAS'!$A:$A,"PROGRAMADO*"
  )
 +SUMIFS(
    'FRETE MÁQUINAS'!$F:$F,
    'FRETE MÁQUINAS'!$R:$R,$B20,
    'FRETE MÁQUINAS'!$S:$S,G$3,
    'FRETE MÁQUINAS'!$A:$A,"EM ROTA*"
  ),
0)</f>
        <v>0</v>
      </c>
      <c r="H20" s="142">
        <f>SUM(F20:G20)</f>
        <v>0</v>
      </c>
      <c r="I20" s="173">
        <f t="shared" si="4"/>
        <v>0</v>
      </c>
    </row>
    <row r="21" spans="2:9">
      <c r="B21" s="143" t="s">
        <v>142</v>
      </c>
      <c r="C21" s="142">
        <f>IFERROR(
  SUMIFS(
    'FRETE MÁQUINAS'!$F:$F,
    'FRETE MÁQUINAS'!$R:$R,$B21,
    'FRETE MÁQUINAS'!$S:$S,C$3,
    'FRETE MÁQUINAS'!$A:$A,"CONCLUIDO*"
  )
 +SUMIFS(
    'FRETE MÁQUINAS'!$F:$F,
    'FRETE MÁQUINAS'!$R:$R,$B21,
    'FRETE MÁQUINAS'!$S:$S,C$3,
    'FRETE MÁQUINAS'!$A:$A,"PROGRAMADO*"
  )
 +SUMIFS(
    'FRETE MÁQUINAS'!$F:$F,
    'FRETE MÁQUINAS'!$R:$R,$B21,
    'FRETE MÁQUINAS'!$S:$S,C$3,
    'FRETE MÁQUINAS'!$A:$A,"EM ROTA*"
  ),
0)</f>
        <v>3662.3</v>
      </c>
      <c r="D21" s="142">
        <f>IFERROR(
  SUMIFS(
    'FRETE MÁQUINAS'!$F:$F,
    'FRETE MÁQUINAS'!$R:$R,$B21,
    'FRETE MÁQUINAS'!$S:$S,D$3,
    'FRETE MÁQUINAS'!$A:$A,"CONCLUIDO*"
  )
 +SUMIFS(
    'FRETE MÁQUINAS'!$F:$F,
    'FRETE MÁQUINAS'!$R:$R,$B21,
    'FRETE MÁQUINAS'!$S:$S,D$3,
    'FRETE MÁQUINAS'!$A:$A,"PROGRAMADO*"
  )
 +SUMIFS(
    'FRETE MÁQUINAS'!$F:$F,
    'FRETE MÁQUINAS'!$R:$R,$B21,
    'FRETE MÁQUINAS'!$S:$S,D$3,
    'FRETE MÁQUINAS'!$A:$A,"EM ROTA*"
  ),
0)</f>
        <v>0</v>
      </c>
      <c r="E21" s="142">
        <f>IFERROR(
  SUMIFS(
    'FRETE MÁQUINAS'!$F:$F,
    'FRETE MÁQUINAS'!$R:$R,$B21,
    'FRETE MÁQUINAS'!$S:$S,E$3,
    'FRETE MÁQUINAS'!$A:$A,"CONCLUIDO*"
  )
 +SUMIFS(
    'FRETE MÁQUINAS'!$F:$F,
    'FRETE MÁQUINAS'!$R:$R,$B21,
    'FRETE MÁQUINAS'!$S:$S,E$3,
    'FRETE MÁQUINAS'!$A:$A,"PROGRAMADO*"
  )
 +SUMIFS(
    'FRETE MÁQUINAS'!$F:$F,
    'FRETE MÁQUINAS'!$R:$R,$B21,
    'FRETE MÁQUINAS'!$S:$S,E$3,
    'FRETE MÁQUINAS'!$A:$A,"EM ROTA*"
  ),
0)</f>
        <v>0</v>
      </c>
      <c r="F21" s="142">
        <f>IFERROR(
  SUMIFS(
    'FRETE MÁQUINAS'!$F:$F,
    'FRETE MÁQUINAS'!$R:$R,$B21,
    'FRETE MÁQUINAS'!$S:$S,F$3,
    'FRETE MÁQUINAS'!$A:$A,"CONCLUIDO*"
  )
 +SUMIFS(
    'FRETE MÁQUINAS'!$F:$F,
    'FRETE MÁQUINAS'!$R:$R,$B21,
    'FRETE MÁQUINAS'!$S:$S,F$3,
    'FRETE MÁQUINAS'!$A:$A,"PROGRAMADO*"
  )
 +SUMIFS(
    'FRETE MÁQUINAS'!$F:$F,
    'FRETE MÁQUINAS'!$R:$R,$B21,
    'FRETE MÁQUINAS'!$S:$S,F$3,
    'FRETE MÁQUINAS'!$A:$A,"EM ROTA*"
  ),
0)</f>
        <v>0</v>
      </c>
      <c r="G21" s="142">
        <f>IFERROR(
  SUMIFS(
    'FRETE MÁQUINAS'!$F:$F,
    'FRETE MÁQUINAS'!$R:$R,$B21,
    'FRETE MÁQUINAS'!$S:$S,G$3,
    'FRETE MÁQUINAS'!$A:$A,"CONCLUIDO*"
  )
 +SUMIFS(
    'FRETE MÁQUINAS'!$F:$F,
    'FRETE MÁQUINAS'!$R:$R,$B21,
    'FRETE MÁQUINAS'!$S:$S,G$3,
    'FRETE MÁQUINAS'!$A:$A,"PROGRAMADO*"
  )
 +SUMIFS(
    'FRETE MÁQUINAS'!$F:$F,
    'FRETE MÁQUINAS'!$R:$R,$B21,
    'FRETE MÁQUINAS'!$S:$S,G$3,
    'FRETE MÁQUINAS'!$A:$A,"EM ROTA*"
  ),
0)</f>
        <v>0</v>
      </c>
      <c r="H21" s="142">
        <f t="shared" ref="H21:H27" si="5">SUM(F21:G21)</f>
        <v>0</v>
      </c>
      <c r="I21" s="173">
        <f t="shared" si="4"/>
        <v>3662.3</v>
      </c>
    </row>
    <row r="22" spans="2:9">
      <c r="B22" s="143" t="s">
        <v>144</v>
      </c>
      <c r="C22" s="142">
        <f>IFERROR(
  SUMIFS(
    'FRETE MÁQUINAS'!$F:$F,
    'FRETE MÁQUINAS'!$R:$R,$B22,
    'FRETE MÁQUINAS'!$S:$S,C$3,
    'FRETE MÁQUINAS'!$A:$A,"CONCLUIDO*"
  )
 +SUMIFS(
    'FRETE MÁQUINAS'!$F:$F,
    'FRETE MÁQUINAS'!$R:$R,$B22,
    'FRETE MÁQUINAS'!$S:$S,C$3,
    'FRETE MÁQUINAS'!$A:$A,"PROGRAMADO*"
  )
 +SUMIFS(
    'FRETE MÁQUINAS'!$F:$F,
    'FRETE MÁQUINAS'!$R:$R,$B22,
    'FRETE MÁQUINAS'!$S:$S,C$3,
    'FRETE MÁQUINAS'!$A:$A,"EM ROTA*"
  ),
0)</f>
        <v>3270</v>
      </c>
      <c r="D22" s="142">
        <f>IFERROR(
  SUMIFS(
    'FRETE MÁQUINAS'!$F:$F,
    'FRETE MÁQUINAS'!$R:$R,$B22,
    'FRETE MÁQUINAS'!$S:$S,D$3,
    'FRETE MÁQUINAS'!$A:$A,"CONCLUIDO*"
  )
 +SUMIFS(
    'FRETE MÁQUINAS'!$F:$F,
    'FRETE MÁQUINAS'!$R:$R,$B22,
    'FRETE MÁQUINAS'!$S:$S,D$3,
    'FRETE MÁQUINAS'!$A:$A,"PROGRAMADO*"
  )
 +SUMIFS(
    'FRETE MÁQUINAS'!$F:$F,
    'FRETE MÁQUINAS'!$R:$R,$B22,
    'FRETE MÁQUINAS'!$S:$S,D$3,
    'FRETE MÁQUINAS'!$A:$A,"EM ROTA*"
  ),
0)</f>
        <v>0</v>
      </c>
      <c r="E22" s="142">
        <f>IFERROR(
  SUMIFS(
    'FRETE MÁQUINAS'!$F:$F,
    'FRETE MÁQUINAS'!$R:$R,$B22,
    'FRETE MÁQUINAS'!$S:$S,E$3,
    'FRETE MÁQUINAS'!$A:$A,"CONCLUIDO*"
  )
 +SUMIFS(
    'FRETE MÁQUINAS'!$F:$F,
    'FRETE MÁQUINAS'!$R:$R,$B22,
    'FRETE MÁQUINAS'!$S:$S,E$3,
    'FRETE MÁQUINAS'!$A:$A,"PROGRAMADO*"
  )
 +SUMIFS(
    'FRETE MÁQUINAS'!$F:$F,
    'FRETE MÁQUINAS'!$R:$R,$B22,
    'FRETE MÁQUINAS'!$S:$S,E$3,
    'FRETE MÁQUINAS'!$A:$A,"EM ROTA*"
  ),
0)</f>
        <v>0</v>
      </c>
      <c r="F22" s="142">
        <f>IFERROR(
  SUMIFS(
    'FRETE MÁQUINAS'!$F:$F,
    'FRETE MÁQUINAS'!$R:$R,$B22,
    'FRETE MÁQUINAS'!$S:$S,F$3,
    'FRETE MÁQUINAS'!$A:$A,"CONCLUIDO*"
  )
 +SUMIFS(
    'FRETE MÁQUINAS'!$F:$F,
    'FRETE MÁQUINAS'!$R:$R,$B22,
    'FRETE MÁQUINAS'!$S:$S,F$3,
    'FRETE MÁQUINAS'!$A:$A,"PROGRAMADO*"
  )
 +SUMIFS(
    'FRETE MÁQUINAS'!$F:$F,
    'FRETE MÁQUINAS'!$R:$R,$B22,
    'FRETE MÁQUINAS'!$S:$S,F$3,
    'FRETE MÁQUINAS'!$A:$A,"EM ROTA*"
  ),
0)</f>
        <v>2400</v>
      </c>
      <c r="G22" s="142">
        <f>IFERROR(
  SUMIFS(
    'FRETE MÁQUINAS'!$F:$F,
    'FRETE MÁQUINAS'!$R:$R,$B22,
    'FRETE MÁQUINAS'!$S:$S,G$3,
    'FRETE MÁQUINAS'!$A:$A,"CONCLUIDO*"
  )
 +SUMIFS(
    'FRETE MÁQUINAS'!$F:$F,
    'FRETE MÁQUINAS'!$R:$R,$B22,
    'FRETE MÁQUINAS'!$S:$S,G$3,
    'FRETE MÁQUINAS'!$A:$A,"PROGRAMADO*"
  )
 +SUMIFS(
    'FRETE MÁQUINAS'!$F:$F,
    'FRETE MÁQUINAS'!$R:$R,$B22,
    'FRETE MÁQUINAS'!$S:$S,G$3,
    'FRETE MÁQUINAS'!$A:$A,"EM ROTA*"
  ),
0)</f>
        <v>5400</v>
      </c>
      <c r="H22" s="142">
        <f t="shared" si="5"/>
        <v>7800</v>
      </c>
      <c r="I22" s="173">
        <f t="shared" si="4"/>
        <v>11070</v>
      </c>
    </row>
    <row r="23" spans="2:9">
      <c r="B23" s="143" t="s">
        <v>146</v>
      </c>
      <c r="C23" s="142">
        <f>IFERROR(
  SUMIFS(
    'FRETE MÁQUINAS'!$F:$F,
    'FRETE MÁQUINAS'!$R:$R,$B23,
    'FRETE MÁQUINAS'!$S:$S,C$3,
    'FRETE MÁQUINAS'!$A:$A,"CONCLUIDO*"
  )
 +SUMIFS(
    'FRETE MÁQUINAS'!$F:$F,
    'FRETE MÁQUINAS'!$R:$R,$B23,
    'FRETE MÁQUINAS'!$S:$S,C$3,
    'FRETE MÁQUINAS'!$A:$A,"PROGRAMADO*"
  )
 +SUMIFS(
    'FRETE MÁQUINAS'!$F:$F,
    'FRETE MÁQUINAS'!$R:$R,$B23,
    'FRETE MÁQUINAS'!$S:$S,C$3,
    'FRETE MÁQUINAS'!$A:$A,"EM ROTA*"
  ),
0)</f>
        <v>0</v>
      </c>
      <c r="D23" s="142">
        <f>IFERROR(
  SUMIFS(
    'FRETE MÁQUINAS'!$F:$F,
    'FRETE MÁQUINAS'!$R:$R,$B23,
    'FRETE MÁQUINAS'!$S:$S,D$3,
    'FRETE MÁQUINAS'!$A:$A,"CONCLUIDO*"
  )
 +SUMIFS(
    'FRETE MÁQUINAS'!$F:$F,
    'FRETE MÁQUINAS'!$R:$R,$B23,
    'FRETE MÁQUINAS'!$S:$S,D$3,
    'FRETE MÁQUINAS'!$A:$A,"PROGRAMADO*"
  )
 +SUMIFS(
    'FRETE MÁQUINAS'!$F:$F,
    'FRETE MÁQUINAS'!$R:$R,$B23,
    'FRETE MÁQUINAS'!$S:$S,D$3,
    'FRETE MÁQUINAS'!$A:$A,"EM ROTA*"
  ),
0)</f>
        <v>0</v>
      </c>
      <c r="E23" s="142">
        <f>IFERROR(
  SUMIFS(
    'FRETE MÁQUINAS'!$F:$F,
    'FRETE MÁQUINAS'!$R:$R,$B23,
    'FRETE MÁQUINAS'!$S:$S,E$3,
    'FRETE MÁQUINAS'!$A:$A,"CONCLUIDO*"
  )
 +SUMIFS(
    'FRETE MÁQUINAS'!$F:$F,
    'FRETE MÁQUINAS'!$R:$R,$B23,
    'FRETE MÁQUINAS'!$S:$S,E$3,
    'FRETE MÁQUINAS'!$A:$A,"PROGRAMADO*"
  )
 +SUMIFS(
    'FRETE MÁQUINAS'!$F:$F,
    'FRETE MÁQUINAS'!$R:$R,$B23,
    'FRETE MÁQUINAS'!$S:$S,E$3,
    'FRETE MÁQUINAS'!$A:$A,"EM ROTA*"
  ),
0)</f>
        <v>0</v>
      </c>
      <c r="F23" s="142">
        <f>IFERROR(
  SUMIFS(
    'FRETE MÁQUINAS'!$F:$F,
    'FRETE MÁQUINAS'!$R:$R,$B23,
    'FRETE MÁQUINAS'!$S:$S,F$3,
    'FRETE MÁQUINAS'!$A:$A,"CONCLUIDO*"
  )
 +SUMIFS(
    'FRETE MÁQUINAS'!$F:$F,
    'FRETE MÁQUINAS'!$R:$R,$B23,
    'FRETE MÁQUINAS'!$S:$S,F$3,
    'FRETE MÁQUINAS'!$A:$A,"PROGRAMADO*"
  )
 +SUMIFS(
    'FRETE MÁQUINAS'!$F:$F,
    'FRETE MÁQUINAS'!$R:$R,$B23,
    'FRETE MÁQUINAS'!$S:$S,F$3,
    'FRETE MÁQUINAS'!$A:$A,"EM ROTA*"
  ),
0)</f>
        <v>0</v>
      </c>
      <c r="G23" s="142">
        <f>IFERROR(
  SUMIFS(
    'FRETE MÁQUINAS'!$F:$F,
    'FRETE MÁQUINAS'!$R:$R,$B23,
    'FRETE MÁQUINAS'!$S:$S,G$3,
    'FRETE MÁQUINAS'!$A:$A,"CONCLUIDO*"
  )
 +SUMIFS(
    'FRETE MÁQUINAS'!$F:$F,
    'FRETE MÁQUINAS'!$R:$R,$B23,
    'FRETE MÁQUINAS'!$S:$S,G$3,
    'FRETE MÁQUINAS'!$A:$A,"PROGRAMADO*"
  )
 +SUMIFS(
    'FRETE MÁQUINAS'!$F:$F,
    'FRETE MÁQUINAS'!$R:$R,$B23,
    'FRETE MÁQUINAS'!$S:$S,G$3,
    'FRETE MÁQUINAS'!$A:$A,"EM ROTA*"
  ),
0)</f>
        <v>0</v>
      </c>
      <c r="H23" s="142">
        <f t="shared" si="5"/>
        <v>0</v>
      </c>
      <c r="I23" s="173">
        <f t="shared" si="4"/>
        <v>0</v>
      </c>
    </row>
    <row r="24" spans="2:9">
      <c r="B24" s="143" t="s">
        <v>148</v>
      </c>
      <c r="C24" s="142">
        <f>IFERROR(
  SUMIFS(
    'FRETE MÁQUINAS'!$F:$F,
    'FRETE MÁQUINAS'!$R:$R,$B24,
    'FRETE MÁQUINAS'!$S:$S,C$3,
    'FRETE MÁQUINAS'!$A:$A,"CONCLUIDO*"
  )
 +SUMIFS(
    'FRETE MÁQUINAS'!$F:$F,
    'FRETE MÁQUINAS'!$R:$R,$B24,
    'FRETE MÁQUINAS'!$S:$S,C$3,
    'FRETE MÁQUINAS'!$A:$A,"PROGRAMADO*"
  )
 +SUMIFS(
    'FRETE MÁQUINAS'!$F:$F,
    'FRETE MÁQUINAS'!$R:$R,$B24,
    'FRETE MÁQUINAS'!$S:$S,C$3,
    'FRETE MÁQUINAS'!$A:$A,"EM ROTA*"
  ),
0)</f>
        <v>2010</v>
      </c>
      <c r="D24" s="142">
        <f>IFERROR(
  SUMIFS(
    'FRETE MÁQUINAS'!$F:$F,
    'FRETE MÁQUINAS'!$R:$R,$B24,
    'FRETE MÁQUINAS'!$S:$S,D$3,
    'FRETE MÁQUINAS'!$A:$A,"CONCLUIDO*"
  )
 +SUMIFS(
    'FRETE MÁQUINAS'!$F:$F,
    'FRETE MÁQUINAS'!$R:$R,$B24,
    'FRETE MÁQUINAS'!$S:$S,D$3,
    'FRETE MÁQUINAS'!$A:$A,"PROGRAMADO*"
  )
 +SUMIFS(
    'FRETE MÁQUINAS'!$F:$F,
    'FRETE MÁQUINAS'!$R:$R,$B24,
    'FRETE MÁQUINAS'!$S:$S,D$3,
    'FRETE MÁQUINAS'!$A:$A,"EM ROTA*"
  ),
0)</f>
        <v>0</v>
      </c>
      <c r="E24" s="142">
        <f>IFERROR(
  SUMIFS(
    'FRETE MÁQUINAS'!$F:$F,
    'FRETE MÁQUINAS'!$R:$R,$B24,
    'FRETE MÁQUINAS'!$S:$S,E$3,
    'FRETE MÁQUINAS'!$A:$A,"CONCLUIDO*"
  )
 +SUMIFS(
    'FRETE MÁQUINAS'!$F:$F,
    'FRETE MÁQUINAS'!$R:$R,$B24,
    'FRETE MÁQUINAS'!$S:$S,E$3,
    'FRETE MÁQUINAS'!$A:$A,"PROGRAMADO*"
  )
 +SUMIFS(
    'FRETE MÁQUINAS'!$F:$F,
    'FRETE MÁQUINAS'!$R:$R,$B24,
    'FRETE MÁQUINAS'!$S:$S,E$3,
    'FRETE MÁQUINAS'!$A:$A,"EM ROTA*"
  ),
0)</f>
        <v>0</v>
      </c>
      <c r="F24" s="142">
        <f>IFERROR(
  SUMIFS(
    'FRETE MÁQUINAS'!$F:$F,
    'FRETE MÁQUINAS'!$R:$R,$B24,
    'FRETE MÁQUINAS'!$S:$S,F$3,
    'FRETE MÁQUINAS'!$A:$A,"CONCLUIDO*"
  )
 +SUMIFS(
    'FRETE MÁQUINAS'!$F:$F,
    'FRETE MÁQUINAS'!$R:$R,$B24,
    'FRETE MÁQUINAS'!$S:$S,F$3,
    'FRETE MÁQUINAS'!$A:$A,"PROGRAMADO*"
  )
 +SUMIFS(
    'FRETE MÁQUINAS'!$F:$F,
    'FRETE MÁQUINAS'!$R:$R,$B24,
    'FRETE MÁQUINAS'!$S:$S,F$3,
    'FRETE MÁQUINAS'!$A:$A,"EM ROTA*"
  ),
0)</f>
        <v>0</v>
      </c>
      <c r="G24" s="142">
        <f>IFERROR(
  SUMIFS(
    'FRETE MÁQUINAS'!$F:$F,
    'FRETE MÁQUINAS'!$R:$R,$B24,
    'FRETE MÁQUINAS'!$S:$S,G$3,
    'FRETE MÁQUINAS'!$A:$A,"CONCLUIDO*"
  )
 +SUMIFS(
    'FRETE MÁQUINAS'!$F:$F,
    'FRETE MÁQUINAS'!$R:$R,$B24,
    'FRETE MÁQUINAS'!$S:$S,G$3,
    'FRETE MÁQUINAS'!$A:$A,"PROGRAMADO*"
  )
 +SUMIFS(
    'FRETE MÁQUINAS'!$F:$F,
    'FRETE MÁQUINAS'!$R:$R,$B24,
    'FRETE MÁQUINAS'!$S:$S,G$3,
    'FRETE MÁQUINAS'!$A:$A,"EM ROTA*"
  ),
0)</f>
        <v>0</v>
      </c>
      <c r="H24" s="142">
        <f t="shared" si="5"/>
        <v>0</v>
      </c>
      <c r="I24" s="173">
        <f t="shared" si="4"/>
        <v>2010</v>
      </c>
    </row>
    <row r="25" spans="2:9">
      <c r="B25" s="143" t="s">
        <v>149</v>
      </c>
      <c r="C25" s="142">
        <f>IFERROR(
  SUMIFS(
    'FRETE MÁQUINAS'!$F:$F,
    'FRETE MÁQUINAS'!$R:$R,$B25,
    'FRETE MÁQUINAS'!$S:$S,C$3,
    'FRETE MÁQUINAS'!$A:$A,"CONCLUIDO*"
  )
 +SUMIFS(
    'FRETE MÁQUINAS'!$F:$F,
    'FRETE MÁQUINAS'!$R:$R,$B25,
    'FRETE MÁQUINAS'!$S:$S,C$3,
    'FRETE MÁQUINAS'!$A:$A,"PROGRAMADO*"
  )
 +SUMIFS(
    'FRETE MÁQUINAS'!$F:$F,
    'FRETE MÁQUINAS'!$R:$R,$B25,
    'FRETE MÁQUINAS'!$S:$S,C$3,
    'FRETE MÁQUINAS'!$A:$A,"EM ROTA*"
  ),
0)</f>
        <v>0</v>
      </c>
      <c r="D25" s="142">
        <f>IFERROR(
  SUMIFS(
    'FRETE MÁQUINAS'!$F:$F,
    'FRETE MÁQUINAS'!$R:$R,$B25,
    'FRETE MÁQUINAS'!$S:$S,D$3,
    'FRETE MÁQUINAS'!$A:$A,"CONCLUIDO*"
  )
 +SUMIFS(
    'FRETE MÁQUINAS'!$F:$F,
    'FRETE MÁQUINAS'!$R:$R,$B25,
    'FRETE MÁQUINAS'!$S:$S,D$3,
    'FRETE MÁQUINAS'!$A:$A,"PROGRAMADO*"
  )
 +SUMIFS(
    'FRETE MÁQUINAS'!$F:$F,
    'FRETE MÁQUINAS'!$R:$R,$B25,
    'FRETE MÁQUINAS'!$S:$S,D$3,
    'FRETE MÁQUINAS'!$A:$A,"EM ROTA*"
  ),
0)</f>
        <v>0</v>
      </c>
      <c r="E25" s="142">
        <f>IFERROR(
  SUMIFS(
    'FRETE MÁQUINAS'!$F:$F,
    'FRETE MÁQUINAS'!$R:$R,$B25,
    'FRETE MÁQUINAS'!$S:$S,E$3,
    'FRETE MÁQUINAS'!$A:$A,"CONCLUIDO*"
  )
 +SUMIFS(
    'FRETE MÁQUINAS'!$F:$F,
    'FRETE MÁQUINAS'!$R:$R,$B25,
    'FRETE MÁQUINAS'!$S:$S,E$3,
    'FRETE MÁQUINAS'!$A:$A,"PROGRAMADO*"
  )
 +SUMIFS(
    'FRETE MÁQUINAS'!$F:$F,
    'FRETE MÁQUINAS'!$R:$R,$B25,
    'FRETE MÁQUINAS'!$S:$S,E$3,
    'FRETE MÁQUINAS'!$A:$A,"EM ROTA*"
  ),
0)</f>
        <v>0</v>
      </c>
      <c r="F25" s="142">
        <f>IFERROR(
  SUMIFS(
    'FRETE MÁQUINAS'!$F:$F,
    'FRETE MÁQUINAS'!$R:$R,$B25,
    'FRETE MÁQUINAS'!$S:$S,F$3,
    'FRETE MÁQUINAS'!$A:$A,"CONCLUIDO*"
  )
 +SUMIFS(
    'FRETE MÁQUINAS'!$F:$F,
    'FRETE MÁQUINAS'!$R:$R,$B25,
    'FRETE MÁQUINAS'!$S:$S,F$3,
    'FRETE MÁQUINAS'!$A:$A,"PROGRAMADO*"
  )
 +SUMIFS(
    'FRETE MÁQUINAS'!$F:$F,
    'FRETE MÁQUINAS'!$R:$R,$B25,
    'FRETE MÁQUINAS'!$S:$S,F$3,
    'FRETE MÁQUINAS'!$A:$A,"EM ROTA*"
  ),
0)</f>
        <v>0</v>
      </c>
      <c r="G25" s="142">
        <f>IFERROR(
  SUMIFS(
    'FRETE MÁQUINAS'!$F:$F,
    'FRETE MÁQUINAS'!$R:$R,$B25,
    'FRETE MÁQUINAS'!$S:$S,G$3,
    'FRETE MÁQUINAS'!$A:$A,"CONCLUIDO*"
  )
 +SUMIFS(
    'FRETE MÁQUINAS'!$F:$F,
    'FRETE MÁQUINAS'!$R:$R,$B25,
    'FRETE MÁQUINAS'!$S:$S,G$3,
    'FRETE MÁQUINAS'!$A:$A,"PROGRAMADO*"
  )
 +SUMIFS(
    'FRETE MÁQUINAS'!$F:$F,
    'FRETE MÁQUINAS'!$R:$R,$B25,
    'FRETE MÁQUINAS'!$S:$S,G$3,
    'FRETE MÁQUINAS'!$A:$A,"EM ROTA*"
  ),
0)</f>
        <v>0</v>
      </c>
      <c r="H25" s="142">
        <f t="shared" si="5"/>
        <v>0</v>
      </c>
      <c r="I25" s="173">
        <f t="shared" si="4"/>
        <v>0</v>
      </c>
    </row>
    <row r="26" spans="2:9">
      <c r="B26" s="143" t="s">
        <v>151</v>
      </c>
      <c r="C26" s="142">
        <f>IFERROR(
  SUMIFS(
    'FRETE MÁQUINAS'!$F:$F,
    'FRETE MÁQUINAS'!$R:$R,$B26,
    'FRETE MÁQUINAS'!$S:$S,C$3,
    'FRETE MÁQUINAS'!$A:$A,"CONCLUIDO*"
  )
 +SUMIFS(
    'FRETE MÁQUINAS'!$F:$F,
    'FRETE MÁQUINAS'!$R:$R,$B26,
    'FRETE MÁQUINAS'!$S:$S,C$3,
    'FRETE MÁQUINAS'!$A:$A,"PROGRAMADO*"
  )
 +SUMIFS(
    'FRETE MÁQUINAS'!$F:$F,
    'FRETE MÁQUINAS'!$R:$R,$B26,
    'FRETE MÁQUINAS'!$S:$S,C$3,
    'FRETE MÁQUINAS'!$A:$A,"EM ROTA*"
  ),
0)</f>
        <v>7089</v>
      </c>
      <c r="D26" s="142">
        <f>IFERROR(
  SUMIFS(
    'FRETE MÁQUINAS'!$F:$F,
    'FRETE MÁQUINAS'!$R:$R,$B26,
    'FRETE MÁQUINAS'!$S:$S,D$3,
    'FRETE MÁQUINAS'!$A:$A,"CONCLUIDO*"
  )
 +SUMIFS(
    'FRETE MÁQUINAS'!$F:$F,
    'FRETE MÁQUINAS'!$R:$R,$B26,
    'FRETE MÁQUINAS'!$S:$S,D$3,
    'FRETE MÁQUINAS'!$A:$A,"PROGRAMADO*"
  )
 +SUMIFS(
    'FRETE MÁQUINAS'!$F:$F,
    'FRETE MÁQUINAS'!$R:$R,$B26,
    'FRETE MÁQUINAS'!$S:$S,D$3,
    'FRETE MÁQUINAS'!$A:$A,"EM ROTA*"
  ),
0)</f>
        <v>0</v>
      </c>
      <c r="E26" s="142">
        <f>IFERROR(
  SUMIFS(
    'FRETE MÁQUINAS'!$F:$F,
    'FRETE MÁQUINAS'!$R:$R,$B26,
    'FRETE MÁQUINAS'!$S:$S,E$3,
    'FRETE MÁQUINAS'!$A:$A,"CONCLUIDO*"
  )
 +SUMIFS(
    'FRETE MÁQUINAS'!$F:$F,
    'FRETE MÁQUINAS'!$R:$R,$B26,
    'FRETE MÁQUINAS'!$S:$S,E$3,
    'FRETE MÁQUINAS'!$A:$A,"PROGRAMADO*"
  )
 +SUMIFS(
    'FRETE MÁQUINAS'!$F:$F,
    'FRETE MÁQUINAS'!$R:$R,$B26,
    'FRETE MÁQUINAS'!$S:$S,E$3,
    'FRETE MÁQUINAS'!$A:$A,"EM ROTA*"
  ),
0)</f>
        <v>9600</v>
      </c>
      <c r="F26" s="142">
        <f>IFERROR(
  SUMIFS(
    'FRETE MÁQUINAS'!$F:$F,
    'FRETE MÁQUINAS'!$R:$R,$B26,
    'FRETE MÁQUINAS'!$S:$S,F$3,
    'FRETE MÁQUINAS'!$A:$A,"CONCLUIDO*"
  )
 +SUMIFS(
    'FRETE MÁQUINAS'!$F:$F,
    'FRETE MÁQUINAS'!$R:$R,$B26,
    'FRETE MÁQUINAS'!$S:$S,F$3,
    'FRETE MÁQUINAS'!$A:$A,"PROGRAMADO*"
  )
 +SUMIFS(
    'FRETE MÁQUINAS'!$F:$F,
    'FRETE MÁQUINAS'!$R:$R,$B26,
    'FRETE MÁQUINAS'!$S:$S,F$3,
    'FRETE MÁQUINAS'!$A:$A,"EM ROTA*"
  ),
0)</f>
        <v>650</v>
      </c>
      <c r="G26" s="142">
        <f>IFERROR(
  SUMIFS(
    'FRETE MÁQUINAS'!$F:$F,
    'FRETE MÁQUINAS'!$R:$R,$B26,
    'FRETE MÁQUINAS'!$S:$S,G$3,
    'FRETE MÁQUINAS'!$A:$A,"CONCLUIDO*"
  )
 +SUMIFS(
    'FRETE MÁQUINAS'!$F:$F,
    'FRETE MÁQUINAS'!$R:$R,$B26,
    'FRETE MÁQUINAS'!$S:$S,G$3,
    'FRETE MÁQUINAS'!$A:$A,"PROGRAMADO*"
  )
 +SUMIFS(
    'FRETE MÁQUINAS'!$F:$F,
    'FRETE MÁQUINAS'!$R:$R,$B26,
    'FRETE MÁQUINAS'!$S:$S,G$3,
    'FRETE MÁQUINAS'!$A:$A,"EM ROTA*"
  ),
0)</f>
        <v>650</v>
      </c>
      <c r="H26" s="142">
        <f t="shared" si="5"/>
        <v>1300</v>
      </c>
      <c r="I26" s="173">
        <f t="shared" si="4"/>
        <v>17989</v>
      </c>
    </row>
    <row r="27" spans="2:9">
      <c r="B27" s="143" t="s">
        <v>152</v>
      </c>
      <c r="C27" s="142">
        <f>IFERROR(
  SUMIFS(
    'FRETE MÁQUINAS'!$F:$F,
    'FRETE MÁQUINAS'!$R:$R,$B27,
    'FRETE MÁQUINAS'!$S:$S,C$3,
    'FRETE MÁQUINAS'!$A:$A,"CONCLUIDO*"
  )
 +SUMIFS(
    'FRETE MÁQUINAS'!$F:$F,
    'FRETE MÁQUINAS'!$R:$R,$B27,
    'FRETE MÁQUINAS'!$S:$S,C$3,
    'FRETE MÁQUINAS'!$A:$A,"PROGRAMADO*"
  )
 +SUMIFS(
    'FRETE MÁQUINAS'!$F:$F,
    'FRETE MÁQUINAS'!$R:$R,$B27,
    'FRETE MÁQUINAS'!$S:$S,C$3,
    'FRETE MÁQUINAS'!$A:$A,"EM ROTA*"
  ),
0)</f>
        <v>0</v>
      </c>
      <c r="D27" s="142">
        <f>IFERROR(
  SUMIFS(
    'FRETE MÁQUINAS'!$F:$F,
    'FRETE MÁQUINAS'!$R:$R,$B27,
    'FRETE MÁQUINAS'!$S:$S,D$3,
    'FRETE MÁQUINAS'!$A:$A,"CONCLUIDO*"
  )
 +SUMIFS(
    'FRETE MÁQUINAS'!$F:$F,
    'FRETE MÁQUINAS'!$R:$R,$B27,
    'FRETE MÁQUINAS'!$S:$S,D$3,
    'FRETE MÁQUINAS'!$A:$A,"PROGRAMADO*"
  )
 +SUMIFS(
    'FRETE MÁQUINAS'!$F:$F,
    'FRETE MÁQUINAS'!$R:$R,$B27,
    'FRETE MÁQUINAS'!$S:$S,D$3,
    'FRETE MÁQUINAS'!$A:$A,"EM ROTA*"
  ),
0)</f>
        <v>0</v>
      </c>
      <c r="E27" s="142">
        <f>IFERROR(
  SUMIFS(
    'FRETE MÁQUINAS'!$F:$F,
    'FRETE MÁQUINAS'!$R:$R,$B27,
    'FRETE MÁQUINAS'!$S:$S,E$3,
    'FRETE MÁQUINAS'!$A:$A,"CONCLUIDO*"
  )
 +SUMIFS(
    'FRETE MÁQUINAS'!$F:$F,
    'FRETE MÁQUINAS'!$R:$R,$B27,
    'FRETE MÁQUINAS'!$S:$S,E$3,
    'FRETE MÁQUINAS'!$A:$A,"PROGRAMADO*"
  )
 +SUMIFS(
    'FRETE MÁQUINAS'!$F:$F,
    'FRETE MÁQUINAS'!$R:$R,$B27,
    'FRETE MÁQUINAS'!$S:$S,E$3,
    'FRETE MÁQUINAS'!$A:$A,"EM ROTA*"
  ),
0)</f>
        <v>0</v>
      </c>
      <c r="F27" s="142">
        <f>IFERROR(
  SUMIFS(
    'FRETE MÁQUINAS'!$F:$F,
    'FRETE MÁQUINAS'!$R:$R,$B27,
    'FRETE MÁQUINAS'!$S:$S,F$3,
    'FRETE MÁQUINAS'!$A:$A,"CONCLUIDO*"
  )
 +SUMIFS(
    'FRETE MÁQUINAS'!$F:$F,
    'FRETE MÁQUINAS'!$R:$R,$B27,
    'FRETE MÁQUINAS'!$S:$S,F$3,
    'FRETE MÁQUINAS'!$A:$A,"PROGRAMADO*"
  )
 +SUMIFS(
    'FRETE MÁQUINAS'!$F:$F,
    'FRETE MÁQUINAS'!$R:$R,$B27,
    'FRETE MÁQUINAS'!$S:$S,F$3,
    'FRETE MÁQUINAS'!$A:$A,"EM ROTA*"
  ),
0)</f>
        <v>0</v>
      </c>
      <c r="G27" s="142">
        <f>IFERROR(
  SUMIFS(
    'FRETE MÁQUINAS'!$F:$F,
    'FRETE MÁQUINAS'!$R:$R,$B27,
    'FRETE MÁQUINAS'!$S:$S,G$3,
    'FRETE MÁQUINAS'!$A:$A,"CONCLUIDO*"
  )
 +SUMIFS(
    'FRETE MÁQUINAS'!$F:$F,
    'FRETE MÁQUINAS'!$R:$R,$B27,
    'FRETE MÁQUINAS'!$S:$S,G$3,
    'FRETE MÁQUINAS'!$A:$A,"PROGRAMADO*"
  )
 +SUMIFS(
    'FRETE MÁQUINAS'!$F:$F,
    'FRETE MÁQUINAS'!$R:$R,$B27,
    'FRETE MÁQUINAS'!$S:$S,G$3,
    'FRETE MÁQUINAS'!$A:$A,"EM ROTA*"
  ),
0)</f>
        <v>0</v>
      </c>
      <c r="H27" s="142">
        <f t="shared" si="5"/>
        <v>0</v>
      </c>
      <c r="I27" s="173">
        <f t="shared" si="4"/>
        <v>0</v>
      </c>
    </row>
    <row r="28" spans="2:9">
      <c r="I28" s="173"/>
    </row>
    <row r="29" spans="2:9">
      <c r="B29" t="s">
        <v>158</v>
      </c>
      <c r="I29" s="173"/>
    </row>
    <row r="30" spans="2:9">
      <c r="B30" s="143" t="s">
        <v>140</v>
      </c>
      <c r="C30" s="142">
        <f>IFERROR(
  SUMIFS(
    'PEDIDO COMPRA'!$G:$G,
    'PEDIDO COMPRA'!$A:$A,"Frete Máq. Trator",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D30" s="142">
        <f>IFERROR(
  SUMIFS(
    'PEDIDO COMPRA'!$G:$G,
    'PEDIDO COMPRA'!$A:$A,"Frete Máq. Plantadeira",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E30" s="142">
        <f>IFERROR(
  SUMIFS(
    'PEDIDO COMPRA'!$G:$G,
    'PEDIDO COMPRA'!$A:$A,"Frete Máq. Pulverizador",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F30" s="142">
        <f>IFERROR(
  SUMIFS(
    'PEDIDO COMPRA'!$G:$G,
    'PEDIDO COMPRA'!$A:$A,"Frete Máq. Plataforma",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G30" s="142">
        <f>IFERROR(
  SUMIFS(
    'PEDIDO COMPRA'!$G:$G,
    'PEDIDO COMPRA'!$A:$A,"Frete Máq. Colheitadeira",
    'PEDIDO COMPRA'!$B:$B,
    IF($B30="PONTA GROSSA","PG",
    IF($B30="CASTRO","CASTRO",
    IF($B30="ARAPOTI","ARAPOTI",
    IF($B30="TIBAGI","TIBAGI",
    IF($B30="IRATI","IRATI",
    IF($B30="PRUDENTÓPOLIS","PRUDE",
    IF($B30="GUARAPUAVA","GRPVA",
    IF($B30="QUEDAS DO IGUAÇU","QUEDAS"))))))))
  ),
0)</f>
        <v>0</v>
      </c>
      <c r="H30" s="142">
        <f>SUM(F30:G30)</f>
        <v>0</v>
      </c>
      <c r="I30" s="173">
        <f t="shared" si="4"/>
        <v>0</v>
      </c>
    </row>
    <row r="31" spans="2:9">
      <c r="B31" s="143" t="s">
        <v>142</v>
      </c>
      <c r="C31" s="142">
        <f>IFERROR(
  SUMIFS(
    'PEDIDO COMPRA'!$G:$G,
    'PEDIDO COMPRA'!$A:$A,"Frete Máq. Trator",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3662.3</v>
      </c>
      <c r="D31" s="142">
        <f>IFERROR(
  SUMIFS(
    'PEDIDO COMPRA'!$G:$G,
    'PEDIDO COMPRA'!$A:$A,"Frete Máq. Plantadeira",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E31" s="142">
        <f>IFERROR(
  SUMIFS(
    'PEDIDO COMPRA'!$G:$G,
    'PEDIDO COMPRA'!$A:$A,"Frete Máq. Pulverizador",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F31" s="142">
        <f>IFERROR(
  SUMIFS(
    'PEDIDO COMPRA'!$G:$G,
    'PEDIDO COMPRA'!$A:$A,"Frete Máq. Plataforma",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G31" s="142">
        <f>IFERROR(
  SUMIFS(
    'PEDIDO COMPRA'!$G:$G,
    'PEDIDO COMPRA'!$A:$A,"Frete Máq. Colheitadeira",
    'PEDIDO COMPRA'!$B:$B,
    IF($B31="PONTA GROSSA","PG",
    IF($B31="CASTRO","CASTRO",
    IF($B31="ARAPOTI","ARAPOTI",
    IF($B31="TIBAGI","TIBAGI",
    IF($B31="IRATI","IRATI",
    IF($B31="PRUDENTÓPOLIS","PRUDE",
    IF($B31="GUARAPUAVA","GRPVA",
    IF($B31="QUEDAS DO IGUAÇU","QUEDAS"))))))))
  ),
0)</f>
        <v>0</v>
      </c>
      <c r="H31" s="142">
        <f t="shared" ref="H31:H37" si="6">SUM(F31:G31)</f>
        <v>0</v>
      </c>
      <c r="I31" s="173">
        <f t="shared" si="4"/>
        <v>3662.3</v>
      </c>
    </row>
    <row r="32" spans="2:9">
      <c r="B32" s="143" t="s">
        <v>144</v>
      </c>
      <c r="C32" s="142">
        <f>IFERROR(
  SUMIFS(
    'PEDIDO COMPRA'!$G:$G,
    'PEDIDO COMPRA'!$A:$A,"Frete Máq. Trator",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3270</v>
      </c>
      <c r="D32" s="142">
        <f>IFERROR(
  SUMIFS(
    'PEDIDO COMPRA'!$G:$G,
    'PEDIDO COMPRA'!$A:$A,"Frete Máq. Plantadeira",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E32" s="142">
        <f>IFERROR(
  SUMIFS(
    'PEDIDO COMPRA'!$G:$G,
    'PEDIDO COMPRA'!$A:$A,"Frete Máq. Pulverizador",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0</v>
      </c>
      <c r="F32" s="142">
        <f>IFERROR(
  SUMIFS(
    'PEDIDO COMPRA'!$G:$G,
    'PEDIDO COMPRA'!$A:$A,"Frete Máq. Plataforma",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2400</v>
      </c>
      <c r="G32" s="142">
        <f>IFERROR(
  SUMIFS(
    'PEDIDO COMPRA'!$G:$G,
    'PEDIDO COMPRA'!$A:$A,"Frete Máq. Colheitadeira",
    'PEDIDO COMPRA'!$B:$B,
    IF($B32="PONTA GROSSA","PG",
    IF($B32="CASTRO","CASTRO",
    IF($B32="ARAPOTI","ARAPOTI",
    IF($B32="TIBAGI","TIBAGI",
    IF($B32="IRATI","IRATI",
    IF($B32="PRUDENTÓPOLIS","PRUDE",
    IF($B32="GUARAPUAVA","GRPVA",
    IF($B32="QUEDAS DO IGUAÇU","QUEDAS"))))))))
  ),
0)</f>
        <v>5400</v>
      </c>
      <c r="H32" s="142">
        <f t="shared" si="6"/>
        <v>7800</v>
      </c>
      <c r="I32" s="173">
        <f t="shared" si="4"/>
        <v>11070</v>
      </c>
    </row>
    <row r="33" spans="2:9">
      <c r="B33" s="143" t="s">
        <v>146</v>
      </c>
      <c r="C33" s="142">
        <f>IFERROR(
  SUMIFS(
    'PEDIDO COMPRA'!$G:$G,
    'PEDIDO COMPRA'!$A:$A,"Frete Máq. Trator",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D33" s="142">
        <f>IFERROR(
  SUMIFS(
    'PEDIDO COMPRA'!$G:$G,
    'PEDIDO COMPRA'!$A:$A,"Frete Máq. Plantadeira",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E33" s="142">
        <f>IFERROR(
  SUMIFS(
    'PEDIDO COMPRA'!$G:$G,
    'PEDIDO COMPRA'!$A:$A,"Frete Máq. Pulverizador",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F33" s="142">
        <f>IFERROR(
  SUMIFS(
    'PEDIDO COMPRA'!$G:$G,
    'PEDIDO COMPRA'!$A:$A,"Frete Máq. Plataforma",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G33" s="142">
        <f>IFERROR(
  SUMIFS(
    'PEDIDO COMPRA'!$G:$G,
    'PEDIDO COMPRA'!$A:$A,"Frete Máq. Colheitadeira",
    'PEDIDO COMPRA'!$B:$B,
    IF($B33="PONTA GROSSA","PG",
    IF($B33="CASTRO","CASTRO",
    IF($B33="ARAPOTI","ARAPOTI",
    IF($B33="TIBAGI","TIBAGI",
    IF($B33="IRATI","IRATI",
    IF($B33="PRUDENTÓPOLIS","PRUDE",
    IF($B33="GUARAPUAVA","GRPVA",
    IF($B33="QUEDAS DO IGUAÇU","QUEDAS"))))))))
  ),
0)</f>
        <v>0</v>
      </c>
      <c r="H33" s="142">
        <f t="shared" si="6"/>
        <v>0</v>
      </c>
      <c r="I33" s="173">
        <f t="shared" si="4"/>
        <v>0</v>
      </c>
    </row>
    <row r="34" spans="2:9">
      <c r="B34" s="143" t="s">
        <v>148</v>
      </c>
      <c r="C34" s="142">
        <f>IFERROR(
  SUMIFS(
    'PEDIDO COMPRA'!$G:$G,
    'PEDIDO COMPRA'!$A:$A,"Frete Máq. Trator",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2010</v>
      </c>
      <c r="D34" s="142">
        <f>IFERROR(
  SUMIFS(
    'PEDIDO COMPRA'!$G:$G,
    'PEDIDO COMPRA'!$A:$A,"Frete Máq. Plantadeira",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E34" s="142">
        <f>IFERROR(
  SUMIFS(
    'PEDIDO COMPRA'!$G:$G,
    'PEDIDO COMPRA'!$A:$A,"Frete Máq. Pulverizador",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F34" s="142">
        <f>IFERROR(
  SUMIFS(
    'PEDIDO COMPRA'!$G:$G,
    'PEDIDO COMPRA'!$A:$A,"Frete Máq. Plataforma",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G34" s="142">
        <f>IFERROR(
  SUMIFS(
    'PEDIDO COMPRA'!$G:$G,
    'PEDIDO COMPRA'!$A:$A,"Frete Máq. Colheitadeira",
    'PEDIDO COMPRA'!$B:$B,
    IF($B34="PONTA GROSSA","PG",
    IF($B34="CASTRO","CASTRO",
    IF($B34="ARAPOTI","ARAPOTI",
    IF($B34="TIBAGI","TIBAGI",
    IF($B34="IRATI","IRATI",
    IF($B34="PRUDENTÓPOLIS","PRUDE",
    IF($B34="GUARAPUAVA","GRPVA",
    IF($B34="QUEDAS DO IGUAÇU","QUEDAS"))))))))
  ),
0)</f>
        <v>0</v>
      </c>
      <c r="H34" s="142">
        <f t="shared" si="6"/>
        <v>0</v>
      </c>
      <c r="I34" s="173">
        <f t="shared" si="4"/>
        <v>2010</v>
      </c>
    </row>
    <row r="35" spans="2:9">
      <c r="B35" s="143" t="s">
        <v>149</v>
      </c>
      <c r="C35" s="142">
        <f>IFERROR(
  SUMIFS(
    'PEDIDO COMPRA'!$G:$G,
    'PEDIDO COMPRA'!$A:$A,"Frete Máq. Trator",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D35" s="142">
        <f>IFERROR(
  SUMIFS(
    'PEDIDO COMPRA'!$G:$G,
    'PEDIDO COMPRA'!$A:$A,"Frete Máq. Plantadeira",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E35" s="142">
        <f>IFERROR(
  SUMIFS(
    'PEDIDO COMPRA'!$G:$G,
    'PEDIDO COMPRA'!$A:$A,"Frete Máq. Pulverizador",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F35" s="142">
        <f>IFERROR(
  SUMIFS(
    'PEDIDO COMPRA'!$G:$G,
    'PEDIDO COMPRA'!$A:$A,"Frete Máq. Plataforma",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G35" s="142">
        <f>IFERROR(
  SUMIFS(
    'PEDIDO COMPRA'!$G:$G,
    'PEDIDO COMPRA'!$A:$A,"Frete Máq. Colheitadeira",
    'PEDIDO COMPRA'!$B:$B,
    IF($B35="PONTA GROSSA","PG",
    IF($B35="CASTRO","CASTRO",
    IF($B35="ARAPOTI","ARAPOTI",
    IF($B35="TIBAGI","TIBAGI",
    IF($B35="IRATI","IRATI",
    IF($B35="PRUDENTÓPOLIS","PRUDE",
    IF($B35="GUARAPUAVA","GRPVA",
    IF($B35="QUEDAS DO IGUAÇU","QUEDAS"))))))))
  ),
0)</f>
        <v>0</v>
      </c>
      <c r="H35" s="142">
        <f t="shared" si="6"/>
        <v>0</v>
      </c>
      <c r="I35" s="173">
        <f t="shared" si="4"/>
        <v>0</v>
      </c>
    </row>
    <row r="36" spans="2:9">
      <c r="B36" s="143" t="s">
        <v>151</v>
      </c>
      <c r="C36" s="142">
        <f>IFERROR(
  SUMIFS(
    'PEDIDO COMPRA'!$G:$G,
    'PEDIDO COMPRA'!$A:$A,"Frete Máq. Trator",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7089</v>
      </c>
      <c r="D36" s="142">
        <f>IFERROR(
  SUMIFS(
    'PEDIDO COMPRA'!$G:$G,
    'PEDIDO COMPRA'!$A:$A,"Frete Máq. Plantadeira",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0</v>
      </c>
      <c r="E36" s="142">
        <f>IFERROR(
  SUMIFS(
    'PEDIDO COMPRA'!$G:$G,
    'PEDIDO COMPRA'!$A:$A,"Frete Máq. Pulverizador",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9600</v>
      </c>
      <c r="F36" s="142">
        <f>IFERROR(
  SUMIFS(
    'PEDIDO COMPRA'!$G:$G,
    'PEDIDO COMPRA'!$A:$A,"Frete Máq. Plataforma",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650</v>
      </c>
      <c r="G36" s="142">
        <f>IFERROR(
  SUMIFS(
    'PEDIDO COMPRA'!$G:$G,
    'PEDIDO COMPRA'!$A:$A,"Frete Máq. Colheitadeira",
    'PEDIDO COMPRA'!$B:$B,
    IF($B36="PONTA GROSSA","PG",
    IF($B36="CASTRO","CASTRO",
    IF($B36="ARAPOTI","ARAPOTI",
    IF($B36="TIBAGI","TIBAGI",
    IF($B36="IRATI","IRATI",
    IF($B36="PRUDENTÓPOLIS","PRUDE",
    IF($B36="GUARAPUAVA","GRPVA",
    IF($B36="QUEDAS DO IGUAÇU","QUEDAS"))))))))
  ),
0)</f>
        <v>650</v>
      </c>
      <c r="H36" s="142">
        <f t="shared" si="6"/>
        <v>1300</v>
      </c>
      <c r="I36" s="173">
        <f t="shared" si="4"/>
        <v>17989</v>
      </c>
    </row>
    <row r="37" spans="2:9">
      <c r="B37" s="143" t="s">
        <v>152</v>
      </c>
      <c r="C37" s="142">
        <f>IFERROR(
  SUMIFS(
    'PEDIDO COMPRA'!$G:$G,
    'PEDIDO COMPRA'!$A:$A,"Frete Máq. Trator",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D37" s="142">
        <f>IFERROR(
  SUMIFS(
    'PEDIDO COMPRA'!$G:$G,
    'PEDIDO COMPRA'!$A:$A,"Frete Máq. Plantadeira",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E37" s="142">
        <f>IFERROR(
  SUMIFS(
    'PEDIDO COMPRA'!$G:$G,
    'PEDIDO COMPRA'!$A:$A,"Frete Máq. Pulverizador",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F37" s="142">
        <f>IFERROR(
  SUMIFS(
    'PEDIDO COMPRA'!$G:$G,
    'PEDIDO COMPRA'!$A:$A,"Frete Máq. Plataforma",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G37" s="142">
        <f>IFERROR(
  SUMIFS(
    'PEDIDO COMPRA'!$G:$G,
    'PEDIDO COMPRA'!$A:$A,"Frete Máq. Colheitadeira",
    'PEDIDO COMPRA'!$B:$B,
    IF($B37="PONTA GROSSA","PG",
    IF($B37="CASTRO","CASTRO",
    IF($B37="ARAPOTI","ARAPOTI",
    IF($B37="TIBAGI","TIBAGI",
    IF($B37="IRATI","IRATI",
    IF($B37="PRUDENTÓPOLIS","PRUDE",
    IF($B37="GUARAPUAVA","GRPVA",
    IF($B37="QUEDAS DO IGUAÇU","QUEDAS"))))))))
  ),
0)</f>
        <v>0</v>
      </c>
      <c r="H37" s="142">
        <f t="shared" si="6"/>
        <v>0</v>
      </c>
      <c r="I37" s="173">
        <f t="shared" si="4"/>
        <v>0</v>
      </c>
    </row>
  </sheetData>
  <mergeCells count="4">
    <mergeCell ref="B1:C1"/>
    <mergeCell ref="N2:O2"/>
    <mergeCell ref="Q2:R2"/>
    <mergeCell ref="K2:L2"/>
  </mergeCells>
  <conditionalFormatting sqref="C4:I10 C11:H27 I11:I37">
    <cfRule type="cellIs" dxfId="123" priority="7" operator="equal">
      <formula>0</formula>
    </cfRule>
  </conditionalFormatting>
  <conditionalFormatting sqref="C29:H37">
    <cfRule type="cellIs" dxfId="122" priority="6" operator="equal">
      <formula>0</formula>
    </cfRule>
  </conditionalFormatting>
  <conditionalFormatting sqref="L3:L10">
    <cfRule type="cellIs" dxfId="121" priority="4" operator="equal">
      <formula>0</formula>
    </cfRule>
  </conditionalFormatting>
  <conditionalFormatting sqref="O3:O10">
    <cfRule type="cellIs" dxfId="120" priority="3" operator="equal">
      <formula>0</formula>
    </cfRule>
  </conditionalFormatting>
  <conditionalFormatting sqref="R3:R10">
    <cfRule type="cellIs" dxfId="119" priority="2" operator="equal">
      <formula>0</formula>
    </cfRule>
  </conditionalFormatting>
  <conditionalFormatting sqref="L13:L14">
    <cfRule type="cellIs" dxfId="118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topLeftCell="F1" workbookViewId="0">
      <pane ySplit="1" topLeftCell="A37" activePane="bottomLeft" state="frozen"/>
      <selection pane="bottomLeft" activeCell="A46" sqref="A46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58" customWidth="1"/>
    <col min="7" max="7" width="22" style="15" bestFit="1" customWidth="1"/>
    <col min="8" max="8" width="11.7109375" style="15" bestFit="1" customWidth="1"/>
    <col min="9" max="9" width="11.42578125" style="159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>
      <c r="A1" s="12" t="s">
        <v>159</v>
      </c>
      <c r="B1" s="10" t="s">
        <v>160</v>
      </c>
      <c r="C1" s="10" t="s">
        <v>161</v>
      </c>
      <c r="D1" s="10" t="s">
        <v>162</v>
      </c>
      <c r="E1" s="106" t="s">
        <v>163</v>
      </c>
      <c r="F1" s="107" t="s">
        <v>164</v>
      </c>
      <c r="G1" s="10" t="s">
        <v>165</v>
      </c>
      <c r="H1" s="10" t="s">
        <v>166</v>
      </c>
      <c r="I1" s="109" t="s">
        <v>167</v>
      </c>
      <c r="J1" s="10" t="s">
        <v>168</v>
      </c>
      <c r="K1" s="10" t="s">
        <v>169</v>
      </c>
      <c r="L1" s="10" t="s">
        <v>170</v>
      </c>
      <c r="M1" s="10" t="s">
        <v>171</v>
      </c>
      <c r="N1" s="12" t="s">
        <v>172</v>
      </c>
      <c r="O1" s="10" t="s">
        <v>173</v>
      </c>
      <c r="P1" s="12" t="s">
        <v>174</v>
      </c>
      <c r="Q1" s="10" t="s">
        <v>175</v>
      </c>
      <c r="R1" s="10" t="s">
        <v>176</v>
      </c>
      <c r="S1" s="10" t="s">
        <v>177</v>
      </c>
      <c r="T1" s="72"/>
      <c r="U1" s="72"/>
    </row>
    <row r="2" spans="1:21" hidden="1">
      <c r="A2" s="12" t="s">
        <v>178</v>
      </c>
      <c r="B2" s="10" t="s">
        <v>179</v>
      </c>
      <c r="C2" s="105">
        <f>IFERROR((D2*1.5)/1440, "?")</f>
        <v>0.15625</v>
      </c>
      <c r="D2" s="10">
        <v>150</v>
      </c>
      <c r="E2" s="106"/>
      <c r="F2" s="107">
        <v>1352</v>
      </c>
      <c r="G2" s="10" t="s">
        <v>180</v>
      </c>
      <c r="H2" s="108">
        <v>45964</v>
      </c>
      <c r="I2" s="109">
        <v>45964</v>
      </c>
      <c r="J2" s="10" t="s">
        <v>181</v>
      </c>
      <c r="K2" s="10" t="s">
        <v>182</v>
      </c>
      <c r="L2" s="10" t="s">
        <v>151</v>
      </c>
      <c r="M2" s="10" t="s">
        <v>183</v>
      </c>
      <c r="N2" s="12" t="s">
        <v>184</v>
      </c>
      <c r="O2" s="10" t="s">
        <v>185</v>
      </c>
      <c r="P2" s="12" t="s">
        <v>186</v>
      </c>
      <c r="Q2" s="10" t="s">
        <v>187</v>
      </c>
      <c r="R2" s="10" t="s">
        <v>151</v>
      </c>
      <c r="S2" s="10" t="s">
        <v>134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3" spans="1:21" hidden="1">
      <c r="A3" s="12" t="s">
        <v>178</v>
      </c>
      <c r="B3" s="10" t="s">
        <v>188</v>
      </c>
      <c r="C3" s="105">
        <f>IFERROR((D3*1.5)/1440, "?")</f>
        <v>0.10208333333333333</v>
      </c>
      <c r="D3" s="10">
        <v>98</v>
      </c>
      <c r="E3" s="106"/>
      <c r="F3" s="107">
        <v>300</v>
      </c>
      <c r="G3" s="10" t="s">
        <v>189</v>
      </c>
      <c r="H3" s="108">
        <v>45964</v>
      </c>
      <c r="I3" s="109">
        <v>45964</v>
      </c>
      <c r="J3" s="10" t="s">
        <v>190</v>
      </c>
      <c r="K3" s="10" t="s">
        <v>191</v>
      </c>
      <c r="L3" s="10" t="s">
        <v>148</v>
      </c>
      <c r="M3" s="10" t="s">
        <v>183</v>
      </c>
      <c r="N3" s="12" t="s">
        <v>184</v>
      </c>
      <c r="O3" s="10" t="s">
        <v>185</v>
      </c>
      <c r="P3" s="13" t="s">
        <v>192</v>
      </c>
      <c r="Q3" s="10" t="s">
        <v>193</v>
      </c>
      <c r="R3" s="10" t="s">
        <v>148</v>
      </c>
      <c r="S3" s="10" t="s">
        <v>134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5060E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1" hidden="1">
      <c r="A4" s="12" t="s">
        <v>178</v>
      </c>
      <c r="B4" s="10" t="s">
        <v>188</v>
      </c>
      <c r="C4" s="105">
        <f>IFERROR((D4*1.5)/1440, "?")</f>
        <v>0.11979166666666667</v>
      </c>
      <c r="D4" s="10">
        <v>115</v>
      </c>
      <c r="E4" s="106"/>
      <c r="F4" s="107">
        <v>500</v>
      </c>
      <c r="G4" s="10" t="s">
        <v>194</v>
      </c>
      <c r="H4" s="108">
        <v>45964</v>
      </c>
      <c r="I4" s="109">
        <v>45964</v>
      </c>
      <c r="J4" s="10" t="s">
        <v>190</v>
      </c>
      <c r="K4" s="10" t="s">
        <v>191</v>
      </c>
      <c r="L4" s="10" t="s">
        <v>148</v>
      </c>
      <c r="M4" s="10" t="s">
        <v>183</v>
      </c>
      <c r="N4" s="12" t="s">
        <v>184</v>
      </c>
      <c r="O4" s="10" t="s">
        <v>185</v>
      </c>
      <c r="P4" s="13" t="s">
        <v>195</v>
      </c>
      <c r="Q4" s="10" t="s">
        <v>196</v>
      </c>
      <c r="R4" s="10" t="s">
        <v>148</v>
      </c>
      <c r="S4" s="10" t="s">
        <v>134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1" hidden="1">
      <c r="A5" s="12" t="s">
        <v>178</v>
      </c>
      <c r="B5" s="10" t="s">
        <v>188</v>
      </c>
      <c r="C5" s="105">
        <f>IFERROR((D5*1.5)/1440, "?")</f>
        <v>0.11979166666666667</v>
      </c>
      <c r="D5" s="10">
        <v>115</v>
      </c>
      <c r="E5" s="106"/>
      <c r="F5" s="107">
        <v>300</v>
      </c>
      <c r="G5" s="10" t="s">
        <v>197</v>
      </c>
      <c r="H5" s="108">
        <v>45964</v>
      </c>
      <c r="I5" s="109">
        <v>45964</v>
      </c>
      <c r="J5" s="10" t="s">
        <v>198</v>
      </c>
      <c r="K5" s="10" t="s">
        <v>191</v>
      </c>
      <c r="L5" s="10" t="s">
        <v>183</v>
      </c>
      <c r="M5" s="10" t="s">
        <v>148</v>
      </c>
      <c r="N5" s="12" t="s">
        <v>199</v>
      </c>
      <c r="O5" s="11" t="s">
        <v>200</v>
      </c>
      <c r="P5" s="12" t="s">
        <v>185</v>
      </c>
      <c r="Q5" s="10" t="s">
        <v>201</v>
      </c>
      <c r="R5" s="10" t="s">
        <v>148</v>
      </c>
      <c r="S5" s="10" t="s">
        <v>134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6" spans="1:21" hidden="1">
      <c r="A6" s="12" t="s">
        <v>178</v>
      </c>
      <c r="B6" s="10" t="s">
        <v>202</v>
      </c>
      <c r="C6" s="105">
        <f>IFERROR((D6*1.5)/1440, "?")</f>
        <v>7.2916666666666671E-2</v>
      </c>
      <c r="D6" s="10">
        <v>70</v>
      </c>
      <c r="E6" s="106"/>
      <c r="F6" s="107">
        <v>910</v>
      </c>
      <c r="G6" s="10" t="s">
        <v>203</v>
      </c>
      <c r="H6" s="108">
        <v>45964</v>
      </c>
      <c r="I6" s="109">
        <v>45964</v>
      </c>
      <c r="J6" s="10" t="s">
        <v>204</v>
      </c>
      <c r="K6" s="10" t="s">
        <v>205</v>
      </c>
      <c r="L6" s="10" t="s">
        <v>148</v>
      </c>
      <c r="M6" s="10" t="s">
        <v>183</v>
      </c>
      <c r="N6" s="12" t="s">
        <v>184</v>
      </c>
      <c r="O6" s="10" t="s">
        <v>185</v>
      </c>
      <c r="P6" s="12" t="s">
        <v>206</v>
      </c>
      <c r="Q6" s="10" t="s">
        <v>207</v>
      </c>
      <c r="R6" s="10" t="s">
        <v>148</v>
      </c>
      <c r="S6" s="10" t="s">
        <v>134</v>
      </c>
      <c r="T6" s="2" t="str">
        <f t="shared" si="0"/>
        <v>6135M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7" spans="1:21" hidden="1">
      <c r="A7" s="12" t="s">
        <v>178</v>
      </c>
      <c r="B7" s="10" t="s">
        <v>179</v>
      </c>
      <c r="C7" s="105">
        <f>IFERROR((D7*1.5)/1440, "?")</f>
        <v>0.17916666666666667</v>
      </c>
      <c r="D7" s="10">
        <v>172</v>
      </c>
      <c r="E7" s="106"/>
      <c r="F7" s="107">
        <v>650</v>
      </c>
      <c r="G7" s="10" t="s">
        <v>208</v>
      </c>
      <c r="H7" s="108">
        <v>45964</v>
      </c>
      <c r="I7" s="109">
        <v>45964</v>
      </c>
      <c r="J7" s="10" t="s">
        <v>209</v>
      </c>
      <c r="K7" s="10" t="s">
        <v>182</v>
      </c>
      <c r="L7" s="10" t="s">
        <v>151</v>
      </c>
      <c r="M7" s="10" t="s">
        <v>183</v>
      </c>
      <c r="N7" s="12" t="s">
        <v>184</v>
      </c>
      <c r="O7" s="10" t="s">
        <v>185</v>
      </c>
      <c r="P7" s="13" t="s">
        <v>210</v>
      </c>
      <c r="Q7" s="10" t="s">
        <v>211</v>
      </c>
      <c r="R7" s="10" t="s">
        <v>151</v>
      </c>
      <c r="S7" s="10" t="s">
        <v>137</v>
      </c>
      <c r="T7" s="2" t="str">
        <f t="shared" si="0"/>
        <v>FA30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8" spans="1:21" hidden="1">
      <c r="A8" s="12" t="s">
        <v>178</v>
      </c>
      <c r="B8" s="10" t="s">
        <v>179</v>
      </c>
      <c r="C8" s="105">
        <f>IFERROR((D8*1.5)/1440, "?")</f>
        <v>0.17916666666666667</v>
      </c>
      <c r="D8" s="10">
        <v>172</v>
      </c>
      <c r="E8" s="106"/>
      <c r="F8" s="107">
        <v>650</v>
      </c>
      <c r="G8" s="10" t="s">
        <v>212</v>
      </c>
      <c r="H8" s="108">
        <v>45964</v>
      </c>
      <c r="I8" s="109">
        <v>45964</v>
      </c>
      <c r="J8" s="10" t="s">
        <v>209</v>
      </c>
      <c r="K8" s="10" t="s">
        <v>182</v>
      </c>
      <c r="L8" s="10" t="s">
        <v>151</v>
      </c>
      <c r="M8" s="10" t="s">
        <v>183</v>
      </c>
      <c r="N8" s="12" t="s">
        <v>184</v>
      </c>
      <c r="O8" s="10" t="s">
        <v>185</v>
      </c>
      <c r="P8" s="13" t="s">
        <v>213</v>
      </c>
      <c r="Q8" s="10" t="s">
        <v>211</v>
      </c>
      <c r="R8" s="10" t="s">
        <v>151</v>
      </c>
      <c r="S8" s="10" t="s">
        <v>138</v>
      </c>
      <c r="T8" s="2" t="str">
        <f t="shared" si="0"/>
        <v>S760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9" spans="1:21" hidden="1">
      <c r="A9" s="12" t="s">
        <v>178</v>
      </c>
      <c r="B9" s="10" t="s">
        <v>214</v>
      </c>
      <c r="C9" s="105">
        <f>IFERROR((D9*1.5)/1440, "?")</f>
        <v>0.34375</v>
      </c>
      <c r="D9" s="10">
        <v>330</v>
      </c>
      <c r="E9" s="106">
        <f>IFERROR((D9*6),"?")</f>
        <v>1980</v>
      </c>
      <c r="F9" s="107"/>
      <c r="G9" s="10" t="s">
        <v>215</v>
      </c>
      <c r="H9" s="108">
        <v>45965</v>
      </c>
      <c r="I9" s="109">
        <v>45965</v>
      </c>
      <c r="J9" s="10" t="s">
        <v>216</v>
      </c>
      <c r="K9" s="10" t="s">
        <v>217</v>
      </c>
      <c r="L9" s="10" t="s">
        <v>140</v>
      </c>
      <c r="M9" s="10" t="s">
        <v>183</v>
      </c>
      <c r="N9" s="12" t="s">
        <v>184</v>
      </c>
      <c r="O9" s="10" t="s">
        <v>185</v>
      </c>
      <c r="P9" s="152" t="s">
        <v>218</v>
      </c>
      <c r="Q9" s="10" t="s">
        <v>219</v>
      </c>
      <c r="R9" s="10" t="s">
        <v>140</v>
      </c>
      <c r="S9" s="10" t="s">
        <v>136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idden="1">
      <c r="A10" s="12" t="s">
        <v>178</v>
      </c>
      <c r="B10" s="10" t="s">
        <v>220</v>
      </c>
      <c r="C10" s="105">
        <f>IFERROR((D10*1.5)/1440, "?")</f>
        <v>0.19270833333333334</v>
      </c>
      <c r="D10" s="10">
        <v>185</v>
      </c>
      <c r="E10" s="106"/>
      <c r="F10" s="107">
        <v>1295</v>
      </c>
      <c r="G10" s="10" t="s">
        <v>221</v>
      </c>
      <c r="H10" s="108">
        <v>45965</v>
      </c>
      <c r="I10" s="109">
        <v>45965</v>
      </c>
      <c r="J10" s="10" t="s">
        <v>190</v>
      </c>
      <c r="K10" s="10" t="s">
        <v>222</v>
      </c>
      <c r="L10" s="10" t="s">
        <v>183</v>
      </c>
      <c r="M10" s="10" t="s">
        <v>144</v>
      </c>
      <c r="N10" s="12" t="s">
        <v>199</v>
      </c>
      <c r="O10" s="11" t="s">
        <v>223</v>
      </c>
      <c r="P10" s="12" t="s">
        <v>185</v>
      </c>
      <c r="Q10" s="10" t="s">
        <v>224</v>
      </c>
      <c r="R10" s="10" t="s">
        <v>144</v>
      </c>
      <c r="S10" s="10" t="s">
        <v>134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1" spans="1:21" hidden="1">
      <c r="A11" s="12" t="s">
        <v>178</v>
      </c>
      <c r="B11" s="10" t="s">
        <v>214</v>
      </c>
      <c r="C11" s="105">
        <f>IFERROR((D11*1.5)/1440, "?")</f>
        <v>5.8333333333333334E-2</v>
      </c>
      <c r="D11" s="10">
        <v>56</v>
      </c>
      <c r="E11" s="106">
        <f>IFERROR((D11*6),"?")</f>
        <v>336</v>
      </c>
      <c r="F11" s="107"/>
      <c r="G11" s="10" t="s">
        <v>225</v>
      </c>
      <c r="H11" s="108">
        <v>45965</v>
      </c>
      <c r="I11" s="109">
        <v>45964</v>
      </c>
      <c r="J11" s="10" t="s">
        <v>226</v>
      </c>
      <c r="K11" s="10" t="s">
        <v>227</v>
      </c>
      <c r="L11" s="10" t="s">
        <v>140</v>
      </c>
      <c r="M11" s="10" t="s">
        <v>183</v>
      </c>
      <c r="N11" s="12" t="s">
        <v>184</v>
      </c>
      <c r="O11" s="10" t="s">
        <v>185</v>
      </c>
      <c r="P11" s="12" t="s">
        <v>228</v>
      </c>
      <c r="Q11" s="10" t="s">
        <v>229</v>
      </c>
      <c r="R11" s="10" t="s">
        <v>140</v>
      </c>
      <c r="S11" s="10" t="s">
        <v>134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2" spans="1:21" hidden="1">
      <c r="A12" s="12" t="s">
        <v>230</v>
      </c>
      <c r="B12" s="10" t="s">
        <v>231</v>
      </c>
      <c r="C12" s="105">
        <f>IFERROR((D12*1.5)/1440, "?")</f>
        <v>0.15625</v>
      </c>
      <c r="D12" s="10">
        <v>150</v>
      </c>
      <c r="E12" s="106">
        <v>500</v>
      </c>
      <c r="F12" s="107"/>
      <c r="G12" s="10" t="s">
        <v>232</v>
      </c>
      <c r="H12" s="108">
        <v>45966</v>
      </c>
      <c r="I12" s="109">
        <v>45966</v>
      </c>
      <c r="J12" s="10" t="s">
        <v>233</v>
      </c>
      <c r="K12" s="10" t="s">
        <v>227</v>
      </c>
      <c r="L12" s="10" t="s">
        <v>140</v>
      </c>
      <c r="M12" s="10" t="s">
        <v>183</v>
      </c>
      <c r="N12" s="12" t="s">
        <v>184</v>
      </c>
      <c r="O12" s="10" t="s">
        <v>185</v>
      </c>
      <c r="P12" s="12" t="s">
        <v>234</v>
      </c>
      <c r="Q12" s="10" t="s">
        <v>235</v>
      </c>
      <c r="R12" s="10" t="s">
        <v>140</v>
      </c>
      <c r="S12" s="10" t="s">
        <v>137</v>
      </c>
      <c r="T12" s="2" t="str">
        <f t="shared" si="0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 hidden="1">
      <c r="A13" s="12" t="s">
        <v>230</v>
      </c>
      <c r="B13" s="10" t="s">
        <v>231</v>
      </c>
      <c r="C13" s="105">
        <f>IFERROR((D13*1.5)/1440, "?")</f>
        <v>0.15625</v>
      </c>
      <c r="D13" s="10">
        <v>150</v>
      </c>
      <c r="E13" s="106">
        <v>500</v>
      </c>
      <c r="F13" s="107"/>
      <c r="G13" s="10" t="s">
        <v>236</v>
      </c>
      <c r="H13" s="108">
        <v>45966</v>
      </c>
      <c r="I13" s="109">
        <v>45966</v>
      </c>
      <c r="J13" s="10" t="s">
        <v>233</v>
      </c>
      <c r="K13" s="10" t="s">
        <v>227</v>
      </c>
      <c r="L13" s="10" t="s">
        <v>140</v>
      </c>
      <c r="M13" s="10" t="s">
        <v>183</v>
      </c>
      <c r="N13" s="12" t="s">
        <v>184</v>
      </c>
      <c r="O13" s="10" t="s">
        <v>185</v>
      </c>
      <c r="P13" s="12" t="s">
        <v>234</v>
      </c>
      <c r="Q13" s="10" t="s">
        <v>235</v>
      </c>
      <c r="R13" s="10" t="s">
        <v>140</v>
      </c>
      <c r="S13" s="10" t="s">
        <v>138</v>
      </c>
      <c r="T13" s="2" t="str">
        <f t="shared" si="0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 hidden="1">
      <c r="A14" s="12" t="s">
        <v>178</v>
      </c>
      <c r="B14" s="10" t="s">
        <v>214</v>
      </c>
      <c r="C14" s="105">
        <f>IFERROR((D14*1.5)/1440, "?")</f>
        <v>2.2916666666666665E-2</v>
      </c>
      <c r="D14" s="10">
        <v>22</v>
      </c>
      <c r="E14" s="106">
        <f>IFERROR((D14*6),"?")</f>
        <v>132</v>
      </c>
      <c r="F14" s="107"/>
      <c r="G14" s="10" t="s">
        <v>237</v>
      </c>
      <c r="H14" s="108">
        <v>45966</v>
      </c>
      <c r="I14" s="109">
        <v>45967</v>
      </c>
      <c r="J14" s="10" t="s">
        <v>190</v>
      </c>
      <c r="K14" s="10" t="s">
        <v>238</v>
      </c>
      <c r="L14" s="10" t="s">
        <v>140</v>
      </c>
      <c r="M14" s="10" t="s">
        <v>183</v>
      </c>
      <c r="N14" s="12" t="s">
        <v>184</v>
      </c>
      <c r="O14" s="10" t="s">
        <v>185</v>
      </c>
      <c r="P14" s="12" t="s">
        <v>239</v>
      </c>
      <c r="Q14" s="10" t="s">
        <v>240</v>
      </c>
      <c r="R14" s="10" t="s">
        <v>140</v>
      </c>
      <c r="S14" s="10" t="s">
        <v>136</v>
      </c>
      <c r="T14" s="2" t="str">
        <f t="shared" si="0"/>
        <v>6110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5" spans="1:21" hidden="1">
      <c r="A15" s="12" t="s">
        <v>178</v>
      </c>
      <c r="B15" s="10" t="s">
        <v>220</v>
      </c>
      <c r="C15" s="105">
        <f>IFERROR((D15*1.5)/1440, "?")</f>
        <v>0.13541666666666666</v>
      </c>
      <c r="D15" s="10">
        <v>130</v>
      </c>
      <c r="E15" s="106"/>
      <c r="F15" s="107">
        <v>975</v>
      </c>
      <c r="G15" s="10" t="s">
        <v>241</v>
      </c>
      <c r="H15" s="108">
        <v>45966</v>
      </c>
      <c r="I15" s="109">
        <v>45966</v>
      </c>
      <c r="J15" s="10" t="s">
        <v>242</v>
      </c>
      <c r="K15" s="10" t="s">
        <v>243</v>
      </c>
      <c r="L15" s="10" t="s">
        <v>144</v>
      </c>
      <c r="M15" s="10" t="s">
        <v>183</v>
      </c>
      <c r="N15" s="12" t="s">
        <v>184</v>
      </c>
      <c r="O15" s="10" t="s">
        <v>185</v>
      </c>
      <c r="P15" s="13" t="s">
        <v>244</v>
      </c>
      <c r="Q15" s="10" t="s">
        <v>245</v>
      </c>
      <c r="R15" s="10" t="s">
        <v>144</v>
      </c>
      <c r="S15" s="10" t="s">
        <v>134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idden="1">
      <c r="A16" s="12" t="s">
        <v>178</v>
      </c>
      <c r="B16" s="10" t="s">
        <v>231</v>
      </c>
      <c r="C16" s="105">
        <f>IFERROR((D16*1.5)/1440, "?")</f>
        <v>5.3124999999999999E-2</v>
      </c>
      <c r="D16" s="10">
        <v>51</v>
      </c>
      <c r="E16" s="106">
        <f>IFERROR((D16*6),"?")</f>
        <v>306</v>
      </c>
      <c r="F16" s="107"/>
      <c r="G16" s="10" t="s">
        <v>246</v>
      </c>
      <c r="H16" s="108">
        <v>45966</v>
      </c>
      <c r="I16" s="109">
        <v>45967</v>
      </c>
      <c r="J16" s="10" t="s">
        <v>190</v>
      </c>
      <c r="K16" s="10" t="s">
        <v>247</v>
      </c>
      <c r="L16" s="10" t="s">
        <v>140</v>
      </c>
      <c r="M16" s="10" t="s">
        <v>183</v>
      </c>
      <c r="N16" s="12" t="s">
        <v>184</v>
      </c>
      <c r="O16" s="10" t="s">
        <v>185</v>
      </c>
      <c r="P16" s="12" t="s">
        <v>248</v>
      </c>
      <c r="Q16" s="10" t="s">
        <v>249</v>
      </c>
      <c r="R16" s="10" t="s">
        <v>140</v>
      </c>
      <c r="S16" s="10" t="s">
        <v>134</v>
      </c>
      <c r="T16" s="2" t="str">
        <f t="shared" si="0"/>
        <v>7215C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7" spans="1:21" hidden="1">
      <c r="A17" s="12" t="s">
        <v>178</v>
      </c>
      <c r="B17" s="10" t="s">
        <v>179</v>
      </c>
      <c r="C17" s="105">
        <f>IFERROR((D17*1.5)/1440, "?")</f>
        <v>0.16666666666666666</v>
      </c>
      <c r="D17" s="10">
        <v>160</v>
      </c>
      <c r="E17" s="106"/>
      <c r="F17" s="107">
        <v>1458</v>
      </c>
      <c r="G17" s="10" t="s">
        <v>250</v>
      </c>
      <c r="H17" s="108">
        <v>45966</v>
      </c>
      <c r="I17" s="109">
        <v>45966</v>
      </c>
      <c r="J17" s="10" t="s">
        <v>251</v>
      </c>
      <c r="K17" s="10" t="s">
        <v>182</v>
      </c>
      <c r="L17" s="10" t="s">
        <v>151</v>
      </c>
      <c r="M17" s="10" t="s">
        <v>183</v>
      </c>
      <c r="N17" s="12" t="s">
        <v>184</v>
      </c>
      <c r="O17" s="10" t="s">
        <v>185</v>
      </c>
      <c r="P17" s="12" t="s">
        <v>252</v>
      </c>
      <c r="Q17" s="10" t="s">
        <v>253</v>
      </c>
      <c r="R17" s="10" t="s">
        <v>151</v>
      </c>
      <c r="S17" s="10" t="s">
        <v>134</v>
      </c>
      <c r="T17" s="2" t="str">
        <f t="shared" si="0"/>
        <v>6135M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8" spans="1:21" hidden="1">
      <c r="A18" s="12" t="s">
        <v>178</v>
      </c>
      <c r="B18" s="10" t="s">
        <v>214</v>
      </c>
      <c r="C18" s="105">
        <f>IFERROR((D18*1.5)/1440, "?")</f>
        <v>0.25520833333333331</v>
      </c>
      <c r="D18" s="10">
        <v>245</v>
      </c>
      <c r="E18" s="106">
        <f>IFERROR((D18*6),"?")</f>
        <v>1470</v>
      </c>
      <c r="F18" s="107"/>
      <c r="G18" s="10" t="s">
        <v>254</v>
      </c>
      <c r="H18" s="108">
        <v>45967</v>
      </c>
      <c r="I18" s="109">
        <v>45967</v>
      </c>
      <c r="J18" s="10" t="s">
        <v>255</v>
      </c>
      <c r="K18" s="10" t="s">
        <v>256</v>
      </c>
      <c r="L18" s="10" t="s">
        <v>148</v>
      </c>
      <c r="M18" s="10" t="s">
        <v>183</v>
      </c>
      <c r="N18" s="12" t="s">
        <v>184</v>
      </c>
      <c r="O18" s="10" t="s">
        <v>185</v>
      </c>
      <c r="P18" s="13" t="s">
        <v>257</v>
      </c>
      <c r="Q18" s="10" t="s">
        <v>258</v>
      </c>
      <c r="R18" s="10" t="s">
        <v>148</v>
      </c>
      <c r="S18" s="10" t="s">
        <v>134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idden="1">
      <c r="A19" s="12" t="s">
        <v>178</v>
      </c>
      <c r="B19" s="10" t="s">
        <v>231</v>
      </c>
      <c r="C19" s="105">
        <f>IFERROR((D19*1.5)/1440, "?")</f>
        <v>0.18229166666666666</v>
      </c>
      <c r="D19" s="10">
        <v>175</v>
      </c>
      <c r="E19" s="106">
        <f>IFERROR((D19*6),"?")</f>
        <v>1050</v>
      </c>
      <c r="F19" s="107"/>
      <c r="G19" s="10" t="s">
        <v>259</v>
      </c>
      <c r="H19" s="108">
        <v>45968</v>
      </c>
      <c r="I19" s="109">
        <v>45969</v>
      </c>
      <c r="J19" s="10" t="s">
        <v>260</v>
      </c>
      <c r="K19" s="10" t="s">
        <v>247</v>
      </c>
      <c r="L19" s="10" t="s">
        <v>140</v>
      </c>
      <c r="M19" s="10" t="s">
        <v>183</v>
      </c>
      <c r="N19" s="12" t="s">
        <v>184</v>
      </c>
      <c r="O19" s="10" t="s">
        <v>185</v>
      </c>
      <c r="P19" s="12" t="s">
        <v>261</v>
      </c>
      <c r="Q19" s="10" t="s">
        <v>262</v>
      </c>
      <c r="R19" s="10" t="s">
        <v>140</v>
      </c>
      <c r="S19" s="10" t="s">
        <v>138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idden="1">
      <c r="A20" s="12" t="s">
        <v>178</v>
      </c>
      <c r="B20" s="10" t="s">
        <v>231</v>
      </c>
      <c r="C20" s="105">
        <f>IFERROR((D20*1.5)/1440, "?")</f>
        <v>0.18229166666666666</v>
      </c>
      <c r="D20" s="10">
        <v>175</v>
      </c>
      <c r="E20" s="106">
        <f>IFERROR((D20*6),"?")</f>
        <v>1050</v>
      </c>
      <c r="F20" s="107"/>
      <c r="G20" s="10" t="s">
        <v>263</v>
      </c>
      <c r="H20" s="108">
        <v>45968</v>
      </c>
      <c r="I20" s="109">
        <v>45968</v>
      </c>
      <c r="J20" s="10" t="s">
        <v>190</v>
      </c>
      <c r="K20" s="10" t="s">
        <v>264</v>
      </c>
      <c r="L20" s="10" t="s">
        <v>140</v>
      </c>
      <c r="M20" s="10" t="s">
        <v>183</v>
      </c>
      <c r="N20" s="12" t="s">
        <v>184</v>
      </c>
      <c r="O20" s="10" t="s">
        <v>185</v>
      </c>
      <c r="P20" s="13" t="s">
        <v>265</v>
      </c>
      <c r="Q20" s="10" t="s">
        <v>266</v>
      </c>
      <c r="R20" s="10" t="s">
        <v>140</v>
      </c>
      <c r="S20" s="10" t="s">
        <v>134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idden="1">
      <c r="A21" s="12" t="s">
        <v>178</v>
      </c>
      <c r="B21" s="10" t="s">
        <v>179</v>
      </c>
      <c r="C21" s="105">
        <f>IFERROR((D21*1.5)/1440, "?")</f>
        <v>0.34375</v>
      </c>
      <c r="D21" s="10">
        <v>330</v>
      </c>
      <c r="E21" s="106"/>
      <c r="F21" s="107">
        <v>2890</v>
      </c>
      <c r="G21" s="10" t="s">
        <v>267</v>
      </c>
      <c r="H21" s="108">
        <v>45968</v>
      </c>
      <c r="I21" s="109">
        <v>45968</v>
      </c>
      <c r="J21" s="10" t="s">
        <v>268</v>
      </c>
      <c r="K21" s="10" t="s">
        <v>182</v>
      </c>
      <c r="L21" s="10" t="s">
        <v>151</v>
      </c>
      <c r="M21" s="10" t="s">
        <v>183</v>
      </c>
      <c r="N21" s="12" t="s">
        <v>184</v>
      </c>
      <c r="O21" s="10" t="s">
        <v>185</v>
      </c>
      <c r="P21" s="12" t="s">
        <v>269</v>
      </c>
      <c r="Q21" s="10" t="s">
        <v>270</v>
      </c>
      <c r="R21" s="10" t="s">
        <v>151</v>
      </c>
      <c r="S21" s="10" t="s">
        <v>134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idden="1">
      <c r="A22" s="12" t="s">
        <v>230</v>
      </c>
      <c r="B22" s="10" t="s">
        <v>231</v>
      </c>
      <c r="C22" s="105">
        <f>IFERROR((D22*1.5)/1440, "?")</f>
        <v>0.52083333333333337</v>
      </c>
      <c r="D22" s="10">
        <v>500</v>
      </c>
      <c r="E22" s="106">
        <v>800</v>
      </c>
      <c r="F22" s="107"/>
      <c r="G22" s="10" t="s">
        <v>271</v>
      </c>
      <c r="H22" s="108">
        <v>45972</v>
      </c>
      <c r="I22" s="109">
        <v>45971</v>
      </c>
      <c r="J22" s="10" t="s">
        <v>272</v>
      </c>
      <c r="K22" s="10" t="s">
        <v>247</v>
      </c>
      <c r="L22" s="10" t="s">
        <v>151</v>
      </c>
      <c r="M22" s="10" t="s">
        <v>183</v>
      </c>
      <c r="N22" s="12" t="s">
        <v>273</v>
      </c>
      <c r="O22" s="10" t="s">
        <v>185</v>
      </c>
      <c r="P22" s="13" t="s">
        <v>274</v>
      </c>
      <c r="Q22" s="10" t="s">
        <v>275</v>
      </c>
      <c r="R22" s="10" t="s">
        <v>151</v>
      </c>
      <c r="S22" s="10" t="s">
        <v>137</v>
      </c>
      <c r="T22" s="2" t="str">
        <f t="shared" si="0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 hidden="1">
      <c r="A23" s="12" t="s">
        <v>230</v>
      </c>
      <c r="B23" s="10" t="s">
        <v>231</v>
      </c>
      <c r="C23" s="105">
        <f>IFERROR((D23*1.5)/1440, "?")</f>
        <v>0.52083333333333337</v>
      </c>
      <c r="D23" s="10">
        <v>500</v>
      </c>
      <c r="E23" s="106">
        <v>2200</v>
      </c>
      <c r="F23" s="107"/>
      <c r="G23" s="10" t="s">
        <v>276</v>
      </c>
      <c r="H23" s="108">
        <v>45972</v>
      </c>
      <c r="I23" s="109">
        <v>45971</v>
      </c>
      <c r="J23" s="10" t="s">
        <v>272</v>
      </c>
      <c r="K23" s="10" t="s">
        <v>247</v>
      </c>
      <c r="L23" s="10" t="s">
        <v>151</v>
      </c>
      <c r="M23" s="10" t="s">
        <v>183</v>
      </c>
      <c r="N23" s="12" t="s">
        <v>273</v>
      </c>
      <c r="O23" s="10" t="s">
        <v>185</v>
      </c>
      <c r="P23" s="13" t="s">
        <v>274</v>
      </c>
      <c r="Q23" s="10" t="s">
        <v>275</v>
      </c>
      <c r="R23" s="10" t="s">
        <v>151</v>
      </c>
      <c r="S23" s="10" t="s">
        <v>138</v>
      </c>
      <c r="T23" s="2" t="str">
        <f t="shared" si="0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 hidden="1">
      <c r="A24" s="12" t="s">
        <v>178</v>
      </c>
      <c r="B24" s="10" t="s">
        <v>231</v>
      </c>
      <c r="C24" s="105">
        <f>IFERROR((D24*1.5)/1440, "?")</f>
        <v>0.33854166666666669</v>
      </c>
      <c r="D24" s="10">
        <v>325</v>
      </c>
      <c r="E24" s="106">
        <f>IFERROR((D24*6),"?")</f>
        <v>1950</v>
      </c>
      <c r="F24" s="107"/>
      <c r="G24" s="10" t="s">
        <v>277</v>
      </c>
      <c r="H24" s="108">
        <v>45972</v>
      </c>
      <c r="I24" s="109">
        <v>45972</v>
      </c>
      <c r="J24" s="10" t="s">
        <v>278</v>
      </c>
      <c r="K24" s="10" t="s">
        <v>205</v>
      </c>
      <c r="L24" s="10" t="s">
        <v>148</v>
      </c>
      <c r="M24" s="10" t="s">
        <v>149</v>
      </c>
      <c r="N24" s="12" t="s">
        <v>279</v>
      </c>
      <c r="O24" s="10" t="s">
        <v>185</v>
      </c>
      <c r="P24" s="12" t="s">
        <v>185</v>
      </c>
      <c r="Q24" s="10" t="s">
        <v>275</v>
      </c>
      <c r="R24" s="10" t="s">
        <v>148</v>
      </c>
      <c r="S24" s="10" t="s">
        <v>138</v>
      </c>
      <c r="T24" s="2" t="str">
        <f t="shared" si="0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 hidden="1">
      <c r="A25" s="12" t="s">
        <v>178</v>
      </c>
      <c r="B25" s="10" t="s">
        <v>231</v>
      </c>
      <c r="C25" s="105">
        <f>IFERROR((D25*1.5)/1440, "?")</f>
        <v>0.265625</v>
      </c>
      <c r="D25" s="10">
        <v>255</v>
      </c>
      <c r="E25" s="106">
        <f>IFERROR((D25*6),"?")</f>
        <v>1530</v>
      </c>
      <c r="F25" s="107"/>
      <c r="G25" s="10" t="s">
        <v>280</v>
      </c>
      <c r="H25" s="108">
        <v>45972</v>
      </c>
      <c r="I25" s="109">
        <v>45972</v>
      </c>
      <c r="J25" s="10" t="s">
        <v>281</v>
      </c>
      <c r="K25" s="10" t="s">
        <v>205</v>
      </c>
      <c r="L25" s="10" t="s">
        <v>148</v>
      </c>
      <c r="M25" s="10" t="s">
        <v>149</v>
      </c>
      <c r="N25" s="12" t="s">
        <v>279</v>
      </c>
      <c r="O25" s="10" t="s">
        <v>185</v>
      </c>
      <c r="P25" s="12" t="s">
        <v>185</v>
      </c>
      <c r="Q25" s="10" t="s">
        <v>275</v>
      </c>
      <c r="R25" s="10" t="s">
        <v>148</v>
      </c>
      <c r="S25" s="10" t="s">
        <v>134</v>
      </c>
      <c r="T25" s="2" t="str">
        <f t="shared" si="0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 hidden="1">
      <c r="A26" s="12" t="s">
        <v>178</v>
      </c>
      <c r="B26" s="10" t="s">
        <v>231</v>
      </c>
      <c r="C26" s="105">
        <f>IFERROR((D26*1.5)/1440, "?")</f>
        <v>0.265625</v>
      </c>
      <c r="D26" s="10">
        <v>255</v>
      </c>
      <c r="E26" s="106">
        <f>IFERROR((D26*6),"?")</f>
        <v>1530</v>
      </c>
      <c r="F26" s="107"/>
      <c r="G26" s="10" t="s">
        <v>282</v>
      </c>
      <c r="H26" s="108">
        <v>45972</v>
      </c>
      <c r="I26" s="109">
        <v>45972</v>
      </c>
      <c r="J26" s="10" t="s">
        <v>281</v>
      </c>
      <c r="K26" s="10" t="s">
        <v>205</v>
      </c>
      <c r="L26" s="10" t="s">
        <v>148</v>
      </c>
      <c r="M26" s="10" t="s">
        <v>149</v>
      </c>
      <c r="N26" s="12" t="s">
        <v>279</v>
      </c>
      <c r="O26" s="10" t="s">
        <v>185</v>
      </c>
      <c r="P26" s="12" t="s">
        <v>185</v>
      </c>
      <c r="Q26" s="10" t="s">
        <v>275</v>
      </c>
      <c r="R26" s="10" t="s">
        <v>148</v>
      </c>
      <c r="S26" s="10" t="s">
        <v>134</v>
      </c>
      <c r="T26" s="2" t="str">
        <f t="shared" si="0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 hidden="1">
      <c r="A27" s="12" t="s">
        <v>178</v>
      </c>
      <c r="B27" s="10" t="s">
        <v>231</v>
      </c>
      <c r="C27" s="105">
        <f>IFERROR((D27*1.5)/1440, "?")</f>
        <v>0.33854166666666669</v>
      </c>
      <c r="D27" s="10">
        <v>325</v>
      </c>
      <c r="E27" s="106">
        <f>IFERROR((D27*6),"?")</f>
        <v>1950</v>
      </c>
      <c r="F27" s="107"/>
      <c r="G27" s="10" t="s">
        <v>283</v>
      </c>
      <c r="H27" s="108">
        <v>45972</v>
      </c>
      <c r="I27" s="109">
        <v>45972</v>
      </c>
      <c r="J27" s="10" t="s">
        <v>284</v>
      </c>
      <c r="K27" s="10" t="s">
        <v>205</v>
      </c>
      <c r="L27" s="10" t="s">
        <v>148</v>
      </c>
      <c r="M27" s="10" t="s">
        <v>149</v>
      </c>
      <c r="N27" s="12" t="s">
        <v>279</v>
      </c>
      <c r="O27" s="10" t="s">
        <v>185</v>
      </c>
      <c r="P27" s="12" t="s">
        <v>185</v>
      </c>
      <c r="Q27" s="10" t="s">
        <v>275</v>
      </c>
      <c r="R27" s="10" t="s">
        <v>148</v>
      </c>
      <c r="S27" s="10" t="s">
        <v>134</v>
      </c>
      <c r="T27" s="2" t="str">
        <f t="shared" si="0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 hidden="1">
      <c r="A28" s="12" t="s">
        <v>178</v>
      </c>
      <c r="B28" s="10" t="s">
        <v>179</v>
      </c>
      <c r="C28" s="105">
        <f>IFERROR((D28*1.5)/1440, "?")</f>
        <v>8.1250000000000003E-2</v>
      </c>
      <c r="D28" s="10">
        <v>78</v>
      </c>
      <c r="E28" s="106"/>
      <c r="F28" s="107">
        <v>1389</v>
      </c>
      <c r="G28" s="10" t="s">
        <v>285</v>
      </c>
      <c r="H28" s="108">
        <v>45972</v>
      </c>
      <c r="I28" s="109">
        <v>45972</v>
      </c>
      <c r="J28" s="10" t="s">
        <v>286</v>
      </c>
      <c r="K28" s="10" t="s">
        <v>182</v>
      </c>
      <c r="L28" s="10" t="s">
        <v>149</v>
      </c>
      <c r="M28" s="10" t="s">
        <v>183</v>
      </c>
      <c r="N28" s="12" t="s">
        <v>184</v>
      </c>
      <c r="O28" s="10" t="s">
        <v>185</v>
      </c>
      <c r="P28" s="13" t="s">
        <v>287</v>
      </c>
      <c r="Q28" s="10" t="s">
        <v>288</v>
      </c>
      <c r="R28" s="10" t="s">
        <v>151</v>
      </c>
      <c r="S28" s="10" t="s">
        <v>134</v>
      </c>
      <c r="T28" s="2" t="str">
        <f t="shared" si="0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 hidden="1">
      <c r="A29" s="12" t="s">
        <v>178</v>
      </c>
      <c r="B29" s="10" t="s">
        <v>214</v>
      </c>
      <c r="C29" s="105">
        <f>IFERROR((D29*1.5)/1440, "?")</f>
        <v>5.9374999999999997E-2</v>
      </c>
      <c r="D29" s="10">
        <v>57</v>
      </c>
      <c r="E29" s="106">
        <f>IFERROR((D29*6),"?")</f>
        <v>342</v>
      </c>
      <c r="F29" s="107"/>
      <c r="G29" s="10" t="s">
        <v>289</v>
      </c>
      <c r="H29" s="108">
        <v>45973</v>
      </c>
      <c r="I29" s="109">
        <v>45973</v>
      </c>
      <c r="J29" s="10" t="s">
        <v>198</v>
      </c>
      <c r="K29" s="10" t="s">
        <v>247</v>
      </c>
      <c r="L29" s="10" t="s">
        <v>183</v>
      </c>
      <c r="M29" s="10" t="s">
        <v>140</v>
      </c>
      <c r="N29" s="12" t="s">
        <v>199</v>
      </c>
      <c r="O29" s="10" t="s">
        <v>290</v>
      </c>
      <c r="P29" s="12" t="s">
        <v>185</v>
      </c>
      <c r="Q29" s="10" t="s">
        <v>291</v>
      </c>
      <c r="R29" s="10" t="s">
        <v>140</v>
      </c>
      <c r="S29" s="10" t="s">
        <v>134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idden="1">
      <c r="A30" s="12" t="s">
        <v>178</v>
      </c>
      <c r="B30" s="10" t="s">
        <v>292</v>
      </c>
      <c r="C30" s="105">
        <f>IFERROR((D30*1.5)/1440, "?")</f>
        <v>0.10312499999999999</v>
      </c>
      <c r="D30" s="10">
        <v>99</v>
      </c>
      <c r="E30" s="106"/>
      <c r="F30" s="107">
        <v>1000</v>
      </c>
      <c r="G30" s="10" t="s">
        <v>293</v>
      </c>
      <c r="H30" s="108">
        <v>45974</v>
      </c>
      <c r="I30" s="109">
        <v>45974</v>
      </c>
      <c r="J30" s="10" t="s">
        <v>294</v>
      </c>
      <c r="K30" s="10" t="s">
        <v>243</v>
      </c>
      <c r="L30" s="10" t="s">
        <v>144</v>
      </c>
      <c r="M30" s="10" t="s">
        <v>183</v>
      </c>
      <c r="N30" s="12" t="s">
        <v>184</v>
      </c>
      <c r="O30" s="10" t="s">
        <v>185</v>
      </c>
      <c r="P30" s="12" t="s">
        <v>295</v>
      </c>
      <c r="Q30" s="10" t="s">
        <v>296</v>
      </c>
      <c r="R30" s="10" t="s">
        <v>144</v>
      </c>
      <c r="S30" s="10" t="s">
        <v>134</v>
      </c>
      <c r="T30" s="2" t="str">
        <f t="shared" si="0"/>
        <v>DN10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1" spans="1:21" hidden="1">
      <c r="A31" s="12" t="s">
        <v>178</v>
      </c>
      <c r="B31" s="10" t="s">
        <v>214</v>
      </c>
      <c r="C31" s="105">
        <f>IFERROR((D31*1.5)/1440, "?")</f>
        <v>0.109375</v>
      </c>
      <c r="D31" s="10">
        <v>105</v>
      </c>
      <c r="E31" s="106">
        <f>IFERROR((D31*6),"?")</f>
        <v>630</v>
      </c>
      <c r="F31" s="107"/>
      <c r="G31" s="10" t="s">
        <v>297</v>
      </c>
      <c r="H31" s="108">
        <v>45974</v>
      </c>
      <c r="I31" s="109">
        <v>45974</v>
      </c>
      <c r="J31" s="10" t="s">
        <v>298</v>
      </c>
      <c r="K31" s="10" t="s">
        <v>191</v>
      </c>
      <c r="L31" s="10" t="s">
        <v>183</v>
      </c>
      <c r="M31" s="10" t="s">
        <v>148</v>
      </c>
      <c r="N31" s="12" t="s">
        <v>199</v>
      </c>
      <c r="O31" s="153" t="s">
        <v>299</v>
      </c>
      <c r="P31" s="12" t="s">
        <v>185</v>
      </c>
      <c r="Q31" s="10" t="s">
        <v>300</v>
      </c>
      <c r="R31" s="10" t="s">
        <v>148</v>
      </c>
      <c r="S31" s="10" t="s">
        <v>134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idden="1">
      <c r="A32" s="12" t="s">
        <v>178</v>
      </c>
      <c r="B32" s="10" t="s">
        <v>214</v>
      </c>
      <c r="C32" s="105">
        <f>IFERROR((D32*1.5)/1440, "?")</f>
        <v>7.4999999999999997E-2</v>
      </c>
      <c r="D32" s="10">
        <v>72</v>
      </c>
      <c r="E32" s="106">
        <f>IFERROR((D32*6),"?")</f>
        <v>432</v>
      </c>
      <c r="F32" s="107"/>
      <c r="G32" s="10" t="s">
        <v>301</v>
      </c>
      <c r="H32" s="108">
        <v>45974</v>
      </c>
      <c r="I32" s="109">
        <v>45974</v>
      </c>
      <c r="J32" s="10" t="s">
        <v>302</v>
      </c>
      <c r="K32" s="10" t="s">
        <v>191</v>
      </c>
      <c r="L32" s="10" t="s">
        <v>183</v>
      </c>
      <c r="M32" s="10" t="s">
        <v>148</v>
      </c>
      <c r="N32" s="12" t="s">
        <v>199</v>
      </c>
      <c r="O32" s="11" t="s">
        <v>303</v>
      </c>
      <c r="P32" s="12" t="s">
        <v>185</v>
      </c>
      <c r="Q32" s="10" t="s">
        <v>300</v>
      </c>
      <c r="R32" s="10" t="s">
        <v>148</v>
      </c>
      <c r="S32" s="10" t="s">
        <v>134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UTIL!BS:BS, "", 0),
        IFERROR(
          _xlfn.XLOOKUP("*"&amp;_xlpm.chave&amp;"*", _xlpm.fonte, UTIL!BS:BS, "", 2),
          "Não encontrado"
        )
      )
    ),
  _xlpm.dimtxt_antigo,
    IF(
      _xlpm.ehTrator,
      IFERROR(
        _xlfn.XLOOKUP(MID(_xlpm.ch,4,4), UTIL!BU:BU, UTIL!CB:CB, "", 0),
        IFERROR(
          _xlfn.XLOOKUP("*"&amp;MID(_xlpm.ch,4,4)&amp;"*", UTIL!BU:BU, UTIL!CB:CB, "", 2),
          "Não encontrado"
        )
      ),
      IFERROR(
        _xlfn.XLOOKUP(_xlpm.chave, _xlpm.fonte, UTIL!CB:CB, "", 0),
        IFERROR(
          _xlfn.XLOOKUP("*"&amp;_xlpm.chave&amp;"*", _xlpm.fonte, UTIL!CB:CB,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idden="1">
      <c r="A33" s="12" t="s">
        <v>178</v>
      </c>
      <c r="B33" s="10" t="s">
        <v>214</v>
      </c>
      <c r="C33" s="105">
        <f>IFERROR((D33*1.5)/1440, "?")</f>
        <v>0.11979166666666667</v>
      </c>
      <c r="D33" s="10">
        <v>115</v>
      </c>
      <c r="E33" s="106">
        <f>IFERROR((D33*6),"?")</f>
        <v>690</v>
      </c>
      <c r="F33" s="107"/>
      <c r="G33" s="10" t="s">
        <v>197</v>
      </c>
      <c r="H33" s="108">
        <v>45974</v>
      </c>
      <c r="I33" s="109">
        <v>45974</v>
      </c>
      <c r="J33" s="10" t="s">
        <v>304</v>
      </c>
      <c r="K33" s="10" t="s">
        <v>191</v>
      </c>
      <c r="L33" s="10" t="s">
        <v>148</v>
      </c>
      <c r="M33" s="10" t="s">
        <v>183</v>
      </c>
      <c r="N33" s="12" t="s">
        <v>184</v>
      </c>
      <c r="O33" s="10" t="s">
        <v>185</v>
      </c>
      <c r="P33" s="13" t="s">
        <v>305</v>
      </c>
      <c r="Q33" s="10" t="s">
        <v>306</v>
      </c>
      <c r="R33" s="10" t="s">
        <v>148</v>
      </c>
      <c r="S33" s="10" t="s">
        <v>134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idden="1">
      <c r="A34" s="12" t="s">
        <v>178</v>
      </c>
      <c r="B34" s="10" t="s">
        <v>231</v>
      </c>
      <c r="C34" s="105">
        <f>IFERROR((D34*1.5)/1440, "?")</f>
        <v>0.10416666666666667</v>
      </c>
      <c r="D34" s="10">
        <v>100</v>
      </c>
      <c r="E34" s="106">
        <f>IFERROR((D34*6),"?")</f>
        <v>600</v>
      </c>
      <c r="F34" s="107"/>
      <c r="G34" s="10" t="s">
        <v>307</v>
      </c>
      <c r="H34" s="108">
        <v>45974</v>
      </c>
      <c r="I34" s="109">
        <v>45974</v>
      </c>
      <c r="J34" s="10" t="s">
        <v>198</v>
      </c>
      <c r="K34" s="10" t="s">
        <v>247</v>
      </c>
      <c r="L34" s="10" t="s">
        <v>140</v>
      </c>
      <c r="M34" s="10" t="s">
        <v>183</v>
      </c>
      <c r="N34" s="12" t="s">
        <v>184</v>
      </c>
      <c r="O34" s="10" t="s">
        <v>185</v>
      </c>
      <c r="P34" s="12" t="s">
        <v>308</v>
      </c>
      <c r="Q34" s="10" t="s">
        <v>309</v>
      </c>
      <c r="R34" s="10" t="s">
        <v>140</v>
      </c>
      <c r="S34" s="10" t="s">
        <v>134</v>
      </c>
      <c r="T34" s="2" t="str">
        <f t="shared" si="1"/>
        <v>7225J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5" spans="1:21" hidden="1">
      <c r="A35" s="12" t="s">
        <v>230</v>
      </c>
      <c r="B35" s="10" t="s">
        <v>310</v>
      </c>
      <c r="C35" s="105">
        <f>IFERROR((D35*1.5)/1440, "?")</f>
        <v>0.49791666666666667</v>
      </c>
      <c r="D35" s="10">
        <v>478</v>
      </c>
      <c r="E35" s="106"/>
      <c r="F35" s="107">
        <v>1600</v>
      </c>
      <c r="G35" s="10" t="s">
        <v>311</v>
      </c>
      <c r="H35" s="108">
        <v>45975</v>
      </c>
      <c r="I35" s="109">
        <v>45975</v>
      </c>
      <c r="J35" s="10" t="s">
        <v>312</v>
      </c>
      <c r="K35" s="10" t="s">
        <v>243</v>
      </c>
      <c r="L35" s="10" t="s">
        <v>148</v>
      </c>
      <c r="M35" s="10" t="s">
        <v>183</v>
      </c>
      <c r="N35" s="12" t="s">
        <v>313</v>
      </c>
      <c r="O35" s="10" t="s">
        <v>185</v>
      </c>
      <c r="P35" s="154" t="s">
        <v>314</v>
      </c>
      <c r="Q35" s="10" t="s">
        <v>315</v>
      </c>
      <c r="R35" s="10" t="s">
        <v>144</v>
      </c>
      <c r="S35" s="10" t="s">
        <v>137</v>
      </c>
      <c r="T35" s="2" t="str">
        <f t="shared" si="1"/>
        <v>FA25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6" spans="1:21" hidden="1">
      <c r="A36" s="12" t="s">
        <v>230</v>
      </c>
      <c r="B36" s="10" t="s">
        <v>310</v>
      </c>
      <c r="C36" s="105">
        <f>IFERROR((D36*1.5)/1440, "?")</f>
        <v>0.49791666666666667</v>
      </c>
      <c r="D36" s="10">
        <v>478</v>
      </c>
      <c r="E36" s="106"/>
      <c r="F36" s="107">
        <v>3800</v>
      </c>
      <c r="G36" s="10" t="s">
        <v>316</v>
      </c>
      <c r="H36" s="108">
        <v>45975</v>
      </c>
      <c r="I36" s="109">
        <v>45975</v>
      </c>
      <c r="J36" s="10" t="s">
        <v>312</v>
      </c>
      <c r="K36" s="10" t="s">
        <v>243</v>
      </c>
      <c r="L36" s="10" t="s">
        <v>148</v>
      </c>
      <c r="M36" s="10" t="s">
        <v>183</v>
      </c>
      <c r="N36" s="12" t="s">
        <v>313</v>
      </c>
      <c r="O36" s="10" t="s">
        <v>185</v>
      </c>
      <c r="P36" s="154" t="s">
        <v>314</v>
      </c>
      <c r="Q36" s="10" t="s">
        <v>315</v>
      </c>
      <c r="R36" s="10" t="s">
        <v>144</v>
      </c>
      <c r="S36" s="10" t="s">
        <v>138</v>
      </c>
      <c r="T36" s="2" t="str">
        <f t="shared" si="1"/>
        <v>S440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7" spans="1:21">
      <c r="A37" s="174" t="s">
        <v>178</v>
      </c>
      <c r="B37" s="175" t="s">
        <v>317</v>
      </c>
      <c r="C37" s="176">
        <f>IFERROR((D37*1.5)/1440, "?")</f>
        <v>0.17291666666666666</v>
      </c>
      <c r="D37" s="175">
        <v>166</v>
      </c>
      <c r="E37" s="177"/>
      <c r="F37" s="178">
        <v>0</v>
      </c>
      <c r="G37" s="175" t="s">
        <v>318</v>
      </c>
      <c r="H37" s="179">
        <v>45975</v>
      </c>
      <c r="I37" s="180">
        <v>45975</v>
      </c>
      <c r="J37" s="175" t="s">
        <v>319</v>
      </c>
      <c r="K37" s="175" t="s">
        <v>222</v>
      </c>
      <c r="L37" s="175" t="s">
        <v>183</v>
      </c>
      <c r="M37" s="175" t="s">
        <v>144</v>
      </c>
      <c r="N37" s="174" t="s">
        <v>199</v>
      </c>
      <c r="O37" s="183" t="s">
        <v>320</v>
      </c>
      <c r="P37" s="174" t="s">
        <v>185</v>
      </c>
      <c r="Q37" s="175" t="s">
        <v>321</v>
      </c>
      <c r="R37" s="175" t="s">
        <v>144</v>
      </c>
      <c r="S37" s="175" t="s">
        <v>134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 hidden="1">
      <c r="A38" s="12" t="s">
        <v>178</v>
      </c>
      <c r="B38" s="10" t="s">
        <v>179</v>
      </c>
      <c r="C38" s="105">
        <f>IFERROR((D38*1.5)/1440, "?")</f>
        <v>0.4375</v>
      </c>
      <c r="D38" s="10">
        <v>420</v>
      </c>
      <c r="E38" s="106"/>
      <c r="F38" s="107">
        <v>3662.3</v>
      </c>
      <c r="G38" s="10" t="s">
        <v>322</v>
      </c>
      <c r="H38" s="108">
        <v>45975</v>
      </c>
      <c r="I38" s="109">
        <v>45975</v>
      </c>
      <c r="J38" s="10" t="s">
        <v>323</v>
      </c>
      <c r="K38" s="10" t="s">
        <v>256</v>
      </c>
      <c r="L38" s="10" t="s">
        <v>151</v>
      </c>
      <c r="M38" s="10" t="s">
        <v>183</v>
      </c>
      <c r="N38" s="12" t="s">
        <v>184</v>
      </c>
      <c r="O38" s="10" t="s">
        <v>185</v>
      </c>
      <c r="P38" s="154" t="s">
        <v>324</v>
      </c>
      <c r="Q38" s="10" t="s">
        <v>325</v>
      </c>
      <c r="R38" s="10" t="s">
        <v>142</v>
      </c>
      <c r="S38" s="10" t="s">
        <v>134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 hidden="1">
      <c r="A39" s="12" t="s">
        <v>230</v>
      </c>
      <c r="B39" s="10" t="s">
        <v>214</v>
      </c>
      <c r="C39" s="105">
        <f>IFERROR((D39*1.5)/1440, "?")</f>
        <v>0.31874999999999998</v>
      </c>
      <c r="D39" s="10">
        <v>306</v>
      </c>
      <c r="E39" s="106">
        <f>IFERROR((D39*6),"?")</f>
        <v>1836</v>
      </c>
      <c r="F39" s="107"/>
      <c r="G39" s="10" t="s">
        <v>326</v>
      </c>
      <c r="H39" s="108">
        <v>45975</v>
      </c>
      <c r="I39" s="109">
        <v>45975</v>
      </c>
      <c r="J39" s="10" t="s">
        <v>312</v>
      </c>
      <c r="K39" s="10" t="s">
        <v>243</v>
      </c>
      <c r="L39" s="10" t="s">
        <v>144</v>
      </c>
      <c r="M39" s="10" t="s">
        <v>183</v>
      </c>
      <c r="N39" s="12" t="s">
        <v>313</v>
      </c>
      <c r="O39" s="10" t="s">
        <v>185</v>
      </c>
      <c r="P39" s="154" t="s">
        <v>314</v>
      </c>
      <c r="Q39" s="10" t="s">
        <v>315</v>
      </c>
      <c r="R39" s="10" t="s">
        <v>144</v>
      </c>
      <c r="S39" s="10" t="s">
        <v>134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 hidden="1">
      <c r="A40" s="12" t="s">
        <v>230</v>
      </c>
      <c r="B40" s="10" t="s">
        <v>214</v>
      </c>
      <c r="C40" s="105">
        <f>IFERROR((D40*1.5)/1440, "?")</f>
        <v>0.31874999999999998</v>
      </c>
      <c r="D40" s="10">
        <v>306</v>
      </c>
      <c r="E40" s="106">
        <f>IFERROR((D40*6),"?")</f>
        <v>1836</v>
      </c>
      <c r="F40" s="107"/>
      <c r="G40" s="10" t="s">
        <v>327</v>
      </c>
      <c r="H40" s="108">
        <v>45975</v>
      </c>
      <c r="I40" s="109">
        <v>45975</v>
      </c>
      <c r="J40" s="10" t="s">
        <v>312</v>
      </c>
      <c r="K40" s="10" t="s">
        <v>243</v>
      </c>
      <c r="L40" s="10" t="s">
        <v>144</v>
      </c>
      <c r="M40" s="10" t="s">
        <v>183</v>
      </c>
      <c r="N40" s="12" t="s">
        <v>313</v>
      </c>
      <c r="O40" s="10" t="s">
        <v>185</v>
      </c>
      <c r="P40" s="154" t="s">
        <v>314</v>
      </c>
      <c r="Q40" s="10" t="s">
        <v>315</v>
      </c>
      <c r="R40" s="10" t="s">
        <v>144</v>
      </c>
      <c r="S40" s="10" t="s">
        <v>134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>
      <c r="A41" s="174" t="s">
        <v>178</v>
      </c>
      <c r="B41" s="175" t="s">
        <v>188</v>
      </c>
      <c r="C41" s="176">
        <f>IFERROR((D41*1.5)/1440, "?")</f>
        <v>8.7499999999999994E-2</v>
      </c>
      <c r="D41" s="175">
        <v>84</v>
      </c>
      <c r="E41" s="177"/>
      <c r="F41" s="178">
        <v>0</v>
      </c>
      <c r="G41" s="175" t="s">
        <v>328</v>
      </c>
      <c r="H41" s="179">
        <v>45975</v>
      </c>
      <c r="I41" s="180">
        <v>45975</v>
      </c>
      <c r="J41" s="175" t="s">
        <v>329</v>
      </c>
      <c r="K41" s="175" t="s">
        <v>205</v>
      </c>
      <c r="L41" s="175" t="s">
        <v>148</v>
      </c>
      <c r="M41" s="175" t="s">
        <v>183</v>
      </c>
      <c r="N41" s="174" t="s">
        <v>184</v>
      </c>
      <c r="O41" s="175" t="s">
        <v>185</v>
      </c>
      <c r="P41" s="181" t="s">
        <v>330</v>
      </c>
      <c r="Q41" s="175" t="s">
        <v>331</v>
      </c>
      <c r="R41" s="175" t="s">
        <v>148</v>
      </c>
      <c r="S41" s="175" t="s">
        <v>134</v>
      </c>
      <c r="T41" s="2" t="str">
        <f t="shared" si="2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42" spans="1:21">
      <c r="A42" s="174" t="s">
        <v>178</v>
      </c>
      <c r="B42" s="175" t="s">
        <v>188</v>
      </c>
      <c r="C42" s="176">
        <f>IFERROR((D42*1.5)/1440, "?")</f>
        <v>0.11041666666666666</v>
      </c>
      <c r="D42" s="175">
        <v>106</v>
      </c>
      <c r="E42" s="177"/>
      <c r="F42" s="178">
        <v>0</v>
      </c>
      <c r="G42" s="175" t="s">
        <v>332</v>
      </c>
      <c r="H42" s="179">
        <v>45975</v>
      </c>
      <c r="I42" s="180">
        <v>45975</v>
      </c>
      <c r="J42" s="175" t="s">
        <v>333</v>
      </c>
      <c r="K42" s="175" t="s">
        <v>205</v>
      </c>
      <c r="L42" s="175" t="s">
        <v>148</v>
      </c>
      <c r="M42" s="175" t="s">
        <v>183</v>
      </c>
      <c r="N42" s="174" t="s">
        <v>184</v>
      </c>
      <c r="O42" s="175" t="s">
        <v>185</v>
      </c>
      <c r="P42" s="181" t="s">
        <v>334</v>
      </c>
      <c r="Q42" s="175" t="s">
        <v>335</v>
      </c>
      <c r="R42" s="175" t="s">
        <v>148</v>
      </c>
      <c r="S42" s="175" t="s">
        <v>134</v>
      </c>
      <c r="T42" s="2" t="str">
        <f t="shared" si="2"/>
        <v>5080E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43" spans="1:21">
      <c r="A43" s="12" t="s">
        <v>336</v>
      </c>
      <c r="B43" s="10" t="s">
        <v>337</v>
      </c>
      <c r="C43" s="105">
        <f>IFERROR((D43*1.5)/1440, "?")</f>
        <v>0.76354166666666667</v>
      </c>
      <c r="D43" s="10">
        <v>733</v>
      </c>
      <c r="E43" s="106"/>
      <c r="F43" s="107">
        <v>9600</v>
      </c>
      <c r="G43" s="10" t="s">
        <v>338</v>
      </c>
      <c r="H43" s="108">
        <v>45978</v>
      </c>
      <c r="I43" s="109"/>
      <c r="J43" s="10" t="s">
        <v>339</v>
      </c>
      <c r="K43" s="10" t="s">
        <v>182</v>
      </c>
      <c r="L43" s="10" t="s">
        <v>151</v>
      </c>
      <c r="M43" s="10" t="s">
        <v>183</v>
      </c>
      <c r="N43" s="12" t="s">
        <v>184</v>
      </c>
      <c r="O43" s="10" t="s">
        <v>185</v>
      </c>
      <c r="P43" s="155" t="s">
        <v>340</v>
      </c>
      <c r="Q43" s="10" t="s">
        <v>341</v>
      </c>
      <c r="R43" s="10" t="s">
        <v>151</v>
      </c>
      <c r="S43" s="10" t="s">
        <v>136</v>
      </c>
      <c r="T43" s="2" t="str">
        <f t="shared" si="2"/>
        <v>4030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4" spans="1:21">
      <c r="A44" s="12" t="s">
        <v>230</v>
      </c>
      <c r="B44" s="10" t="s">
        <v>214</v>
      </c>
      <c r="C44" s="105">
        <f>IFERROR((D44*1.5)/1440, "?")</f>
        <v>0.31874999999999998</v>
      </c>
      <c r="D44" s="10">
        <v>306</v>
      </c>
      <c r="E44" s="106">
        <f>IFERROR((D44*6),"?")</f>
        <v>1836</v>
      </c>
      <c r="F44" s="107"/>
      <c r="G44" s="10" t="s">
        <v>326</v>
      </c>
      <c r="H44" s="108">
        <v>45978</v>
      </c>
      <c r="I44" s="109"/>
      <c r="J44" s="156" t="s">
        <v>342</v>
      </c>
      <c r="K44" s="10" t="s">
        <v>243</v>
      </c>
      <c r="L44" s="10" t="s">
        <v>144</v>
      </c>
      <c r="M44" s="10" t="s">
        <v>183</v>
      </c>
      <c r="N44" s="12" t="s">
        <v>313</v>
      </c>
      <c r="O44" s="10" t="s">
        <v>185</v>
      </c>
      <c r="P44" s="110" t="s">
        <v>314</v>
      </c>
      <c r="Q44" s="10" t="s">
        <v>315</v>
      </c>
      <c r="R44" s="10" t="s">
        <v>144</v>
      </c>
      <c r="S44" s="10" t="s">
        <v>134</v>
      </c>
      <c r="T44" s="182" t="str">
        <f t="shared" si="2"/>
        <v>5080E</v>
      </c>
      <c r="U44" s="18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230</v>
      </c>
      <c r="B45" s="10" t="s">
        <v>214</v>
      </c>
      <c r="C45" s="105">
        <f>IFERROR((D45*1.5)/1440, "?")</f>
        <v>0.31874999999999998</v>
      </c>
      <c r="D45" s="10">
        <v>306</v>
      </c>
      <c r="E45" s="106">
        <f>IFERROR((D45*6),"?")</f>
        <v>1836</v>
      </c>
      <c r="F45" s="107"/>
      <c r="G45" s="10" t="s">
        <v>327</v>
      </c>
      <c r="H45" s="108">
        <v>45978</v>
      </c>
      <c r="I45" s="109"/>
      <c r="J45" s="156" t="s">
        <v>342</v>
      </c>
      <c r="K45" s="10" t="s">
        <v>243</v>
      </c>
      <c r="L45" s="10" t="s">
        <v>144</v>
      </c>
      <c r="M45" s="10" t="s">
        <v>183</v>
      </c>
      <c r="N45" s="12" t="s">
        <v>313</v>
      </c>
      <c r="O45" s="10" t="s">
        <v>185</v>
      </c>
      <c r="P45" s="110" t="s">
        <v>314</v>
      </c>
      <c r="Q45" s="10" t="s">
        <v>315</v>
      </c>
      <c r="R45" s="10" t="s">
        <v>144</v>
      </c>
      <c r="S45" s="10" t="s">
        <v>134</v>
      </c>
      <c r="T45" s="2" t="str">
        <f t="shared" si="2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6" spans="1:21">
      <c r="A46" s="12" t="s">
        <v>343</v>
      </c>
      <c r="B46" s="10" t="s">
        <v>214</v>
      </c>
      <c r="C46" s="105">
        <f>IFERROR((D46*1.5)/1440, "?")</f>
        <v>0.20833333333333334</v>
      </c>
      <c r="D46" s="10">
        <v>200</v>
      </c>
      <c r="E46" s="106">
        <f>IFERROR((D46*6),"?")</f>
        <v>1200</v>
      </c>
      <c r="F46" s="107"/>
      <c r="G46" s="10" t="s">
        <v>344</v>
      </c>
      <c r="H46" s="108">
        <v>45978</v>
      </c>
      <c r="I46" s="109"/>
      <c r="J46" s="10" t="s">
        <v>345</v>
      </c>
      <c r="K46" s="10" t="s">
        <v>243</v>
      </c>
      <c r="L46" s="10" t="s">
        <v>183</v>
      </c>
      <c r="M46" s="10" t="s">
        <v>183</v>
      </c>
      <c r="N46" s="12" t="s">
        <v>346</v>
      </c>
      <c r="O46" s="10"/>
      <c r="P46" s="154" t="s">
        <v>347</v>
      </c>
      <c r="Q46" s="10"/>
      <c r="R46" s="10" t="s">
        <v>144</v>
      </c>
      <c r="S46" s="10" t="s">
        <v>134</v>
      </c>
      <c r="T46" s="2" t="str">
        <f t="shared" si="2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>
      <c r="A47" s="12" t="s">
        <v>348</v>
      </c>
      <c r="B47" s="10" t="s">
        <v>292</v>
      </c>
      <c r="C47" s="105">
        <f>IFERROR((D47*1.5)/1440, "?")</f>
        <v>2.2916666666666665E-2</v>
      </c>
      <c r="D47" s="10">
        <v>22</v>
      </c>
      <c r="E47" s="106"/>
      <c r="F47" s="107">
        <v>400</v>
      </c>
      <c r="G47" s="10" t="s">
        <v>349</v>
      </c>
      <c r="H47" s="108">
        <v>45979</v>
      </c>
      <c r="I47" s="109"/>
      <c r="J47" s="10" t="s">
        <v>350</v>
      </c>
      <c r="K47" s="10" t="s">
        <v>243</v>
      </c>
      <c r="L47" s="10" t="s">
        <v>144</v>
      </c>
      <c r="M47" s="10" t="s">
        <v>183</v>
      </c>
      <c r="N47" s="12" t="s">
        <v>184</v>
      </c>
      <c r="O47" s="10" t="s">
        <v>185</v>
      </c>
      <c r="P47" s="155" t="s">
        <v>351</v>
      </c>
      <c r="Q47" s="10" t="s">
        <v>352</v>
      </c>
      <c r="R47" s="10" t="s">
        <v>144</v>
      </c>
      <c r="S47" s="10" t="s">
        <v>137</v>
      </c>
      <c r="T47" s="2" t="str">
        <f t="shared" si="2"/>
        <v>RD30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1">
      <c r="A48" s="12" t="s">
        <v>348</v>
      </c>
      <c r="B48" s="10" t="s">
        <v>292</v>
      </c>
      <c r="C48" s="105">
        <f>IFERROR((D48*1.5)/1440, "?")</f>
        <v>2.2916666666666665E-2</v>
      </c>
      <c r="D48" s="10">
        <v>22</v>
      </c>
      <c r="E48" s="106"/>
      <c r="F48" s="107">
        <v>800</v>
      </c>
      <c r="G48" s="10" t="s">
        <v>353</v>
      </c>
      <c r="H48" s="108">
        <v>45979</v>
      </c>
      <c r="I48" s="109"/>
      <c r="J48" s="10" t="s">
        <v>350</v>
      </c>
      <c r="K48" s="10" t="s">
        <v>243</v>
      </c>
      <c r="L48" s="10" t="s">
        <v>144</v>
      </c>
      <c r="M48" s="10" t="s">
        <v>183</v>
      </c>
      <c r="N48" s="12" t="s">
        <v>184</v>
      </c>
      <c r="O48" s="10" t="s">
        <v>185</v>
      </c>
      <c r="P48" s="155" t="s">
        <v>351</v>
      </c>
      <c r="Q48" s="10" t="s">
        <v>352</v>
      </c>
      <c r="R48" s="10" t="s">
        <v>144</v>
      </c>
      <c r="S48" s="10" t="s">
        <v>138</v>
      </c>
      <c r="T48" s="2" t="str">
        <f t="shared" si="2"/>
        <v>S550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1">
      <c r="A49" s="12" t="s">
        <v>348</v>
      </c>
      <c r="B49" s="10" t="s">
        <v>292</v>
      </c>
      <c r="C49" s="105">
        <f>IFERROR((D49*1.5)/1440, "?")</f>
        <v>2.2916666666666665E-2</v>
      </c>
      <c r="D49" s="10">
        <v>22</v>
      </c>
      <c r="E49" s="106"/>
      <c r="F49" s="107">
        <v>300</v>
      </c>
      <c r="G49" s="10" t="s">
        <v>354</v>
      </c>
      <c r="H49" s="108">
        <v>45979</v>
      </c>
      <c r="I49" s="109"/>
      <c r="J49" s="10" t="s">
        <v>355</v>
      </c>
      <c r="K49" s="10" t="s">
        <v>243</v>
      </c>
      <c r="L49" s="10" t="s">
        <v>183</v>
      </c>
      <c r="M49" s="10" t="s">
        <v>144</v>
      </c>
      <c r="N49" s="12" t="s">
        <v>199</v>
      </c>
      <c r="O49" s="10" t="s">
        <v>351</v>
      </c>
      <c r="P49" s="12" t="s">
        <v>185</v>
      </c>
      <c r="Q49" s="10" t="s">
        <v>356</v>
      </c>
      <c r="R49" s="10" t="s">
        <v>144</v>
      </c>
      <c r="S49" s="10" t="s">
        <v>357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2881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0" spans="1:21">
      <c r="A50" s="12" t="s">
        <v>348</v>
      </c>
      <c r="B50" s="10" t="s">
        <v>292</v>
      </c>
      <c r="C50" s="105">
        <f>IFERROR((D50*1.5)/1440, "?")</f>
        <v>2.2916666666666665E-2</v>
      </c>
      <c r="D50" s="10">
        <v>22</v>
      </c>
      <c r="E50" s="106"/>
      <c r="F50" s="107">
        <v>300</v>
      </c>
      <c r="G50" s="10" t="s">
        <v>358</v>
      </c>
      <c r="H50" s="108">
        <v>45979</v>
      </c>
      <c r="I50" s="109"/>
      <c r="J50" s="10" t="s">
        <v>359</v>
      </c>
      <c r="K50" s="10" t="s">
        <v>243</v>
      </c>
      <c r="L50" s="10" t="s">
        <v>144</v>
      </c>
      <c r="M50" s="10" t="s">
        <v>183</v>
      </c>
      <c r="N50" s="12" t="s">
        <v>184</v>
      </c>
      <c r="O50" s="10" t="s">
        <v>185</v>
      </c>
      <c r="P50" s="155" t="s">
        <v>351</v>
      </c>
      <c r="Q50" s="10" t="s">
        <v>360</v>
      </c>
      <c r="R50" s="10" t="s">
        <v>144</v>
      </c>
      <c r="S50" s="10" t="s">
        <v>357</v>
      </c>
      <c r="T50" s="182" t="str">
        <f t="shared" si="3"/>
        <v>5870</v>
      </c>
      <c r="U50" s="18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1" spans="1:21">
      <c r="A51" s="12" t="s">
        <v>348</v>
      </c>
      <c r="B51" s="10" t="s">
        <v>292</v>
      </c>
      <c r="C51" s="105">
        <f>IFERROR((D51*1.5)/1440, "?")</f>
        <v>2.2916666666666665E-2</v>
      </c>
      <c r="D51" s="10">
        <v>22</v>
      </c>
      <c r="E51" s="106"/>
      <c r="F51" s="107">
        <v>800</v>
      </c>
      <c r="G51" s="10" t="s">
        <v>361</v>
      </c>
      <c r="H51" s="108">
        <v>45979</v>
      </c>
      <c r="I51" s="109"/>
      <c r="J51" s="10" t="s">
        <v>355</v>
      </c>
      <c r="K51" s="10" t="s">
        <v>243</v>
      </c>
      <c r="L51" s="10" t="s">
        <v>183</v>
      </c>
      <c r="M51" s="10" t="s">
        <v>144</v>
      </c>
      <c r="N51" s="12" t="s">
        <v>199</v>
      </c>
      <c r="O51" s="157" t="s">
        <v>351</v>
      </c>
      <c r="P51" s="12" t="s">
        <v>185</v>
      </c>
      <c r="Q51" s="10" t="s">
        <v>356</v>
      </c>
      <c r="R51" s="10" t="s">
        <v>144</v>
      </c>
      <c r="S51" s="10" t="s">
        <v>138</v>
      </c>
      <c r="T51" s="182" t="str">
        <f t="shared" si="3"/>
        <v>B251</v>
      </c>
      <c r="U51" s="18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>
      <c r="A52" s="12" t="s">
        <v>348</v>
      </c>
      <c r="B52" s="10" t="s">
        <v>292</v>
      </c>
      <c r="C52" s="105">
        <f>IFERROR((D52*1.5)/1440, "?")</f>
        <v>2.2916666666666665E-2</v>
      </c>
      <c r="D52" s="10">
        <v>22</v>
      </c>
      <c r="E52" s="106"/>
      <c r="F52" s="107">
        <v>400</v>
      </c>
      <c r="G52" s="10" t="s">
        <v>362</v>
      </c>
      <c r="H52" s="108">
        <v>45979</v>
      </c>
      <c r="I52" s="109"/>
      <c r="J52" s="10" t="s">
        <v>355</v>
      </c>
      <c r="K52" s="10" t="s">
        <v>243</v>
      </c>
      <c r="L52" s="10" t="s">
        <v>183</v>
      </c>
      <c r="M52" s="10" t="s">
        <v>144</v>
      </c>
      <c r="N52" s="12" t="s">
        <v>199</v>
      </c>
      <c r="O52" s="157" t="s">
        <v>351</v>
      </c>
      <c r="P52" s="12" t="s">
        <v>185</v>
      </c>
      <c r="Q52" s="10" t="s">
        <v>356</v>
      </c>
      <c r="R52" s="10" t="s">
        <v>144</v>
      </c>
      <c r="S52" s="10" t="s">
        <v>137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Y358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>
      <c r="A53" s="12" t="s">
        <v>363</v>
      </c>
      <c r="B53" s="10" t="s">
        <v>364</v>
      </c>
      <c r="C53" s="105">
        <f>IFERROR((D53*1.5)/1440, "?")</f>
        <v>0.19479166666666667</v>
      </c>
      <c r="D53" s="10">
        <v>187</v>
      </c>
      <c r="E53" s="106"/>
      <c r="F53" s="107">
        <v>0</v>
      </c>
      <c r="G53" s="10" t="s">
        <v>365</v>
      </c>
      <c r="H53" s="108">
        <v>45979</v>
      </c>
      <c r="I53" s="109"/>
      <c r="J53" s="10" t="s">
        <v>345</v>
      </c>
      <c r="K53" s="10" t="s">
        <v>243</v>
      </c>
      <c r="L53" s="10" t="s">
        <v>144</v>
      </c>
      <c r="M53" s="10" t="s">
        <v>183</v>
      </c>
      <c r="N53" s="12" t="s">
        <v>199</v>
      </c>
      <c r="O53" s="10" t="s">
        <v>185</v>
      </c>
      <c r="P53" s="154" t="s">
        <v>347</v>
      </c>
      <c r="Q53" s="10"/>
      <c r="R53" s="10" t="s">
        <v>144</v>
      </c>
      <c r="S53" s="10" t="s">
        <v>135</v>
      </c>
      <c r="T53" s="2" t="str">
        <f t="shared" ref="T53:T56" si="5">IF(
  OR(
    IFERROR(FIND("BM",G53),0)&gt;0,
    IFERROR(FIND("PY",G53),0)&gt;0
  ),
  MID(TRIM(SUBSTITUTE(SUBSTITUTE(G53,CHAR(160),""),CHAR(9),"")),4,5),
  MID(TRIM(SUBSTITUTE(SUBSTITUTE(G53,CHAR(160),""),CHAR(9),"")),4,4)
)</f>
        <v>1213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54" spans="1:21">
      <c r="A54" s="12" t="s">
        <v>366</v>
      </c>
      <c r="B54" s="10" t="s">
        <v>231</v>
      </c>
      <c r="C54" s="105">
        <f>IFERROR((D54*1.5)/1440, "?")</f>
        <v>2.8125000000000001E-2</v>
      </c>
      <c r="D54" s="10">
        <v>27</v>
      </c>
      <c r="E54" s="106">
        <v>100</v>
      </c>
      <c r="F54" s="107"/>
      <c r="G54" s="10" t="s">
        <v>367</v>
      </c>
      <c r="H54" s="108">
        <v>45979</v>
      </c>
      <c r="I54" s="109"/>
      <c r="J54" s="10" t="s">
        <v>368</v>
      </c>
      <c r="K54" s="10" t="s">
        <v>369</v>
      </c>
      <c r="L54" s="10" t="s">
        <v>140</v>
      </c>
      <c r="M54" s="10" t="s">
        <v>183</v>
      </c>
      <c r="N54" s="12" t="s">
        <v>313</v>
      </c>
      <c r="O54" s="10" t="s">
        <v>185</v>
      </c>
      <c r="P54" s="154" t="s">
        <v>370</v>
      </c>
      <c r="Q54" s="10" t="s">
        <v>371</v>
      </c>
      <c r="R54" s="10" t="s">
        <v>140</v>
      </c>
      <c r="S54" s="10" t="s">
        <v>137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FA25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5" spans="1:21">
      <c r="A55" s="12" t="s">
        <v>366</v>
      </c>
      <c r="B55" s="10" t="s">
        <v>231</v>
      </c>
      <c r="C55" s="105">
        <f>IFERROR((D55*1.5)/1440, "?")</f>
        <v>2.8125000000000001E-2</v>
      </c>
      <c r="D55" s="10">
        <v>27</v>
      </c>
      <c r="E55" s="106">
        <v>200</v>
      </c>
      <c r="F55" s="107"/>
      <c r="G55" s="10" t="s">
        <v>372</v>
      </c>
      <c r="H55" s="108">
        <v>45979</v>
      </c>
      <c r="I55" s="109"/>
      <c r="J55" s="10" t="s">
        <v>368</v>
      </c>
      <c r="K55" s="10" t="s">
        <v>369</v>
      </c>
      <c r="L55" s="10" t="s">
        <v>140</v>
      </c>
      <c r="M55" s="10" t="s">
        <v>183</v>
      </c>
      <c r="N55" s="12" t="s">
        <v>313</v>
      </c>
      <c r="O55" s="10" t="s">
        <v>185</v>
      </c>
      <c r="P55" s="154" t="s">
        <v>370</v>
      </c>
      <c r="Q55" s="10" t="s">
        <v>371</v>
      </c>
      <c r="R55" s="10" t="s">
        <v>140</v>
      </c>
      <c r="S55" s="10" t="s">
        <v>138</v>
      </c>
      <c r="T55" s="2" t="str">
        <f t="shared" si="6"/>
        <v>S440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6" spans="1:21">
      <c r="A56" s="12" t="s">
        <v>366</v>
      </c>
      <c r="B56" s="10" t="s">
        <v>292</v>
      </c>
      <c r="C56" s="105">
        <f>IFERROR((D56*1.5)/1440, "?")</f>
        <v>0.49791666666666667</v>
      </c>
      <c r="D56" s="10">
        <v>478</v>
      </c>
      <c r="E56" s="106"/>
      <c r="F56" s="107">
        <v>0</v>
      </c>
      <c r="G56" s="10" t="s">
        <v>311</v>
      </c>
      <c r="H56" s="108">
        <v>45979</v>
      </c>
      <c r="I56" s="109"/>
      <c r="J56" s="156" t="s">
        <v>342</v>
      </c>
      <c r="K56" s="10" t="s">
        <v>243</v>
      </c>
      <c r="L56" s="10" t="s">
        <v>148</v>
      </c>
      <c r="M56" s="10" t="s">
        <v>183</v>
      </c>
      <c r="N56" s="12" t="s">
        <v>313</v>
      </c>
      <c r="O56" s="10" t="s">
        <v>185</v>
      </c>
      <c r="P56" s="110" t="s">
        <v>314</v>
      </c>
      <c r="Q56" s="10" t="s">
        <v>315</v>
      </c>
      <c r="R56" s="10" t="s">
        <v>144</v>
      </c>
      <c r="S56" s="10" t="s">
        <v>137</v>
      </c>
      <c r="T56" s="2" t="str">
        <f t="shared" si="6"/>
        <v>FA25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>
      <c r="A57" s="12" t="s">
        <v>366</v>
      </c>
      <c r="B57" s="10" t="s">
        <v>292</v>
      </c>
      <c r="C57" s="105">
        <f>IFERROR((D57*1.5)/1440, "?")</f>
        <v>0.49791666666666667</v>
      </c>
      <c r="D57" s="10">
        <v>478</v>
      </c>
      <c r="E57" s="106"/>
      <c r="F57" s="107">
        <v>0</v>
      </c>
      <c r="G57" s="10" t="s">
        <v>316</v>
      </c>
      <c r="H57" s="108">
        <v>45979</v>
      </c>
      <c r="I57" s="109"/>
      <c r="J57" s="156" t="s">
        <v>342</v>
      </c>
      <c r="K57" s="10" t="s">
        <v>243</v>
      </c>
      <c r="L57" s="10" t="s">
        <v>148</v>
      </c>
      <c r="M57" s="10" t="s">
        <v>183</v>
      </c>
      <c r="N57" s="12" t="s">
        <v>313</v>
      </c>
      <c r="O57" s="10" t="s">
        <v>185</v>
      </c>
      <c r="P57" s="110" t="s">
        <v>314</v>
      </c>
      <c r="Q57" s="10" t="s">
        <v>315</v>
      </c>
      <c r="R57" s="10" t="s">
        <v>144</v>
      </c>
      <c r="S57" s="10" t="s">
        <v>138</v>
      </c>
      <c r="T57" s="2" t="str">
        <f t="shared" si="6"/>
        <v>S440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8" spans="1:21">
      <c r="A58" s="12" t="s">
        <v>363</v>
      </c>
      <c r="B58" s="10" t="s">
        <v>373</v>
      </c>
      <c r="C58" s="105">
        <f>IFERROR((D58*1.5)/1440, "?")</f>
        <v>5.8333333333333334E-2</v>
      </c>
      <c r="D58" s="10">
        <v>56</v>
      </c>
      <c r="E58" s="106">
        <f>IFERROR((D58*6),"?")</f>
        <v>336</v>
      </c>
      <c r="F58" s="107"/>
      <c r="G58" s="10" t="s">
        <v>374</v>
      </c>
      <c r="H58" s="108">
        <v>45980</v>
      </c>
      <c r="I58" s="109"/>
      <c r="J58" s="10" t="s">
        <v>375</v>
      </c>
      <c r="K58" s="10" t="s">
        <v>369</v>
      </c>
      <c r="L58" s="10" t="s">
        <v>140</v>
      </c>
      <c r="M58" s="10" t="s">
        <v>183</v>
      </c>
      <c r="N58" s="12" t="s">
        <v>313</v>
      </c>
      <c r="O58" s="10" t="s">
        <v>185</v>
      </c>
      <c r="P58" s="155" t="s">
        <v>376</v>
      </c>
      <c r="Q58" s="10" t="s">
        <v>377</v>
      </c>
      <c r="R58" s="10" t="s">
        <v>140</v>
      </c>
      <c r="S58" s="10" t="s">
        <v>134</v>
      </c>
      <c r="T58" s="2" t="str">
        <f t="shared" si="6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>
      <c r="A59" s="12" t="s">
        <v>363</v>
      </c>
      <c r="B59" s="10" t="s">
        <v>373</v>
      </c>
      <c r="C59" s="105">
        <f>IFERROR((D59*1.5)/1440, "?")</f>
        <v>5.8333333333333334E-2</v>
      </c>
      <c r="D59" s="10">
        <v>56</v>
      </c>
      <c r="E59" s="106">
        <f>IFERROR((D59*6),"?")</f>
        <v>336</v>
      </c>
      <c r="F59" s="107"/>
      <c r="G59" s="10" t="s">
        <v>378</v>
      </c>
      <c r="H59" s="108">
        <v>45980</v>
      </c>
      <c r="I59" s="109"/>
      <c r="J59" s="10" t="s">
        <v>375</v>
      </c>
      <c r="K59" s="10" t="s">
        <v>369</v>
      </c>
      <c r="L59" s="10" t="s">
        <v>140</v>
      </c>
      <c r="M59" s="10" t="s">
        <v>183</v>
      </c>
      <c r="N59" s="12" t="s">
        <v>313</v>
      </c>
      <c r="O59" s="10" t="s">
        <v>185</v>
      </c>
      <c r="P59" s="155" t="s">
        <v>376</v>
      </c>
      <c r="Q59" s="10" t="s">
        <v>377</v>
      </c>
      <c r="R59" s="10" t="s">
        <v>140</v>
      </c>
      <c r="S59" s="10" t="s">
        <v>134</v>
      </c>
      <c r="T59" s="2" t="str">
        <f t="shared" si="6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>
      <c r="A60" s="12" t="s">
        <v>363</v>
      </c>
      <c r="B60" s="10" t="s">
        <v>373</v>
      </c>
      <c r="C60" s="105">
        <f>IFERROR((D60*1.5)/1440, "?")</f>
        <v>0.15625</v>
      </c>
      <c r="D60" s="10">
        <v>150</v>
      </c>
      <c r="E60" s="106">
        <v>200</v>
      </c>
      <c r="F60" s="107"/>
      <c r="G60" s="10" t="s">
        <v>232</v>
      </c>
      <c r="H60" s="108">
        <v>45980</v>
      </c>
      <c r="I60" s="109"/>
      <c r="J60" s="156" t="s">
        <v>379</v>
      </c>
      <c r="K60" s="10" t="s">
        <v>227</v>
      </c>
      <c r="L60" s="10" t="s">
        <v>183</v>
      </c>
      <c r="M60" s="10" t="s">
        <v>140</v>
      </c>
      <c r="N60" s="12" t="s">
        <v>199</v>
      </c>
      <c r="O60" s="10" t="s">
        <v>234</v>
      </c>
      <c r="P60" s="155" t="s">
        <v>185</v>
      </c>
      <c r="Q60" s="10" t="s">
        <v>235</v>
      </c>
      <c r="R60" s="10" t="s">
        <v>140</v>
      </c>
      <c r="S60" s="10" t="s">
        <v>137</v>
      </c>
      <c r="T60" s="2" t="str">
        <f t="shared" si="6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>
      <c r="A61" s="12" t="s">
        <v>363</v>
      </c>
      <c r="B61" s="10" t="s">
        <v>373</v>
      </c>
      <c r="C61" s="105">
        <f>IFERROR((D61*1.5)/1440, "?")</f>
        <v>0.15625</v>
      </c>
      <c r="D61" s="10">
        <v>150</v>
      </c>
      <c r="E61" s="106">
        <v>800</v>
      </c>
      <c r="F61" s="107"/>
      <c r="G61" s="10" t="s">
        <v>236</v>
      </c>
      <c r="H61" s="108">
        <v>45980</v>
      </c>
      <c r="I61" s="109"/>
      <c r="J61" s="156" t="s">
        <v>379</v>
      </c>
      <c r="K61" s="10" t="s">
        <v>227</v>
      </c>
      <c r="L61" s="10" t="s">
        <v>183</v>
      </c>
      <c r="M61" s="10" t="s">
        <v>140</v>
      </c>
      <c r="N61" s="12" t="s">
        <v>199</v>
      </c>
      <c r="O61" s="10" t="s">
        <v>234</v>
      </c>
      <c r="P61" s="155" t="s">
        <v>185</v>
      </c>
      <c r="Q61" s="10" t="s">
        <v>235</v>
      </c>
      <c r="R61" s="10" t="s">
        <v>140</v>
      </c>
      <c r="S61" s="10" t="s">
        <v>138</v>
      </c>
      <c r="T61" s="2" t="str">
        <f t="shared" si="6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>
      <c r="A62" s="12" t="s">
        <v>366</v>
      </c>
      <c r="B62" s="10" t="s">
        <v>231</v>
      </c>
      <c r="C62" s="105">
        <f>IFERROR((D62*1.5)/1440, "?")</f>
        <v>2.8125000000000001E-2</v>
      </c>
      <c r="D62" s="10">
        <v>27</v>
      </c>
      <c r="E62" s="106">
        <v>100</v>
      </c>
      <c r="F62" s="107"/>
      <c r="G62" s="10" t="s">
        <v>367</v>
      </c>
      <c r="H62" s="108">
        <v>45981</v>
      </c>
      <c r="I62" s="109"/>
      <c r="J62" s="156" t="s">
        <v>380</v>
      </c>
      <c r="K62" s="10" t="s">
        <v>369</v>
      </c>
      <c r="L62" s="10" t="s">
        <v>140</v>
      </c>
      <c r="M62" s="10" t="s">
        <v>183</v>
      </c>
      <c r="N62" s="12" t="s">
        <v>313</v>
      </c>
      <c r="O62" s="10" t="s">
        <v>185</v>
      </c>
      <c r="P62" s="154" t="s">
        <v>370</v>
      </c>
      <c r="Q62" s="10" t="s">
        <v>371</v>
      </c>
      <c r="R62" s="10" t="s">
        <v>140</v>
      </c>
      <c r="S62" s="10" t="s">
        <v>137</v>
      </c>
      <c r="T62" s="2" t="str">
        <f t="shared" si="6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>
      <c r="A63" s="12" t="s">
        <v>366</v>
      </c>
      <c r="B63" s="10" t="s">
        <v>231</v>
      </c>
      <c r="C63" s="105">
        <f>IFERROR((D63*1.5)/1440, "?")</f>
        <v>2.8125000000000001E-2</v>
      </c>
      <c r="D63" s="10">
        <v>27</v>
      </c>
      <c r="E63" s="106">
        <v>200</v>
      </c>
      <c r="F63" s="107"/>
      <c r="G63" s="10" t="s">
        <v>372</v>
      </c>
      <c r="H63" s="108">
        <v>45981</v>
      </c>
      <c r="I63" s="109"/>
      <c r="J63" s="156" t="s">
        <v>380</v>
      </c>
      <c r="K63" s="10" t="s">
        <v>369</v>
      </c>
      <c r="L63" s="10" t="s">
        <v>140</v>
      </c>
      <c r="M63" s="10" t="s">
        <v>183</v>
      </c>
      <c r="N63" s="12" t="s">
        <v>313</v>
      </c>
      <c r="O63" s="10" t="s">
        <v>185</v>
      </c>
      <c r="P63" s="154" t="s">
        <v>370</v>
      </c>
      <c r="Q63" s="10" t="s">
        <v>371</v>
      </c>
      <c r="R63" s="10" t="s">
        <v>140</v>
      </c>
      <c r="S63" s="10" t="s">
        <v>138</v>
      </c>
      <c r="T63" s="2" t="str">
        <f t="shared" si="6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>
      <c r="A64" s="12" t="s">
        <v>363</v>
      </c>
      <c r="B64" s="10" t="s">
        <v>373</v>
      </c>
      <c r="C64" s="105">
        <f>IFERROR((D64*1.5)/1440, "?")</f>
        <v>0.15625</v>
      </c>
      <c r="D64" s="10">
        <v>150</v>
      </c>
      <c r="E64" s="106">
        <f>IFERROR((D64*6),"?")</f>
        <v>900</v>
      </c>
      <c r="F64" s="107"/>
      <c r="G64" s="10" t="s">
        <v>381</v>
      </c>
      <c r="H64" s="108">
        <v>45985</v>
      </c>
      <c r="I64" s="109"/>
      <c r="J64" s="10" t="s">
        <v>382</v>
      </c>
      <c r="K64" s="10" t="s">
        <v>369</v>
      </c>
      <c r="L64" s="10" t="s">
        <v>140</v>
      </c>
      <c r="M64" s="10" t="s">
        <v>183</v>
      </c>
      <c r="N64" s="12" t="s">
        <v>313</v>
      </c>
      <c r="O64" s="10" t="s">
        <v>185</v>
      </c>
      <c r="P64" s="154" t="s">
        <v>383</v>
      </c>
      <c r="Q64" s="10" t="s">
        <v>384</v>
      </c>
      <c r="R64" s="10" t="s">
        <v>140</v>
      </c>
      <c r="S64" s="10" t="s">
        <v>134</v>
      </c>
      <c r="T64" s="2" t="str">
        <f t="shared" si="6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>
      <c r="A65" s="12" t="s">
        <v>363</v>
      </c>
      <c r="B65" s="10" t="s">
        <v>373</v>
      </c>
      <c r="C65" s="105">
        <f>IFERROR((D65*1.5)/1440, "?")</f>
        <v>0.15625</v>
      </c>
      <c r="D65" s="10">
        <v>150</v>
      </c>
      <c r="E65" s="106">
        <f>IFERROR((D65*6),"?")</f>
        <v>900</v>
      </c>
      <c r="F65" s="107"/>
      <c r="G65" s="10" t="s">
        <v>385</v>
      </c>
      <c r="H65" s="108">
        <v>45985</v>
      </c>
      <c r="I65" s="109"/>
      <c r="J65" s="10" t="s">
        <v>382</v>
      </c>
      <c r="K65" s="10" t="s">
        <v>369</v>
      </c>
      <c r="L65" s="10" t="s">
        <v>140</v>
      </c>
      <c r="M65" s="10" t="s">
        <v>183</v>
      </c>
      <c r="N65" s="12" t="s">
        <v>313</v>
      </c>
      <c r="O65" s="10" t="s">
        <v>185</v>
      </c>
      <c r="P65" s="154" t="s">
        <v>383</v>
      </c>
      <c r="Q65" s="10" t="s">
        <v>384</v>
      </c>
      <c r="R65" s="10" t="s">
        <v>140</v>
      </c>
      <c r="S65" s="10" t="s">
        <v>134</v>
      </c>
      <c r="T65" s="2" t="str">
        <f t="shared" si="6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>
      <c r="A66" s="12" t="s">
        <v>363</v>
      </c>
      <c r="B66" s="10" t="s">
        <v>373</v>
      </c>
      <c r="C66" s="105">
        <f>IFERROR((D66*1.5)/1440, "?")</f>
        <v>0.15625</v>
      </c>
      <c r="D66" s="10">
        <v>150</v>
      </c>
      <c r="E66" s="106">
        <f>IFERROR((D66*6),"?")</f>
        <v>900</v>
      </c>
      <c r="F66" s="107"/>
      <c r="G66" s="10" t="s">
        <v>386</v>
      </c>
      <c r="H66" s="108">
        <v>45985</v>
      </c>
      <c r="I66" s="109"/>
      <c r="J66" s="10" t="s">
        <v>382</v>
      </c>
      <c r="K66" s="10" t="s">
        <v>369</v>
      </c>
      <c r="L66" s="10" t="s">
        <v>140</v>
      </c>
      <c r="M66" s="10" t="s">
        <v>183</v>
      </c>
      <c r="N66" s="12" t="s">
        <v>313</v>
      </c>
      <c r="O66" s="10" t="s">
        <v>185</v>
      </c>
      <c r="P66" s="154" t="s">
        <v>383</v>
      </c>
      <c r="Q66" s="10" t="s">
        <v>384</v>
      </c>
      <c r="R66" s="10" t="s">
        <v>140</v>
      </c>
      <c r="S66" s="10" t="s">
        <v>134</v>
      </c>
      <c r="T66" s="2" t="str">
        <f t="shared" si="6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>
      <c r="A67" s="12" t="s">
        <v>363</v>
      </c>
      <c r="B67" s="10" t="s">
        <v>373</v>
      </c>
      <c r="C67" s="105">
        <f>IFERROR((D67*1.5)/1440, "?")</f>
        <v>2.6041666666666668E-2</v>
      </c>
      <c r="D67" s="10">
        <v>25</v>
      </c>
      <c r="E67" s="106">
        <f>IFERROR((D67*6),"?")</f>
        <v>150</v>
      </c>
      <c r="F67" s="107"/>
      <c r="G67" s="10" t="s">
        <v>374</v>
      </c>
      <c r="H67" s="108">
        <v>45985</v>
      </c>
      <c r="I67" s="109"/>
      <c r="J67" s="156" t="s">
        <v>387</v>
      </c>
      <c r="K67" s="10" t="s">
        <v>369</v>
      </c>
      <c r="L67" s="10" t="s">
        <v>140</v>
      </c>
      <c r="M67" s="10" t="s">
        <v>183</v>
      </c>
      <c r="N67" s="12" t="s">
        <v>313</v>
      </c>
      <c r="O67" s="10" t="s">
        <v>185</v>
      </c>
      <c r="P67" s="154" t="s">
        <v>388</v>
      </c>
      <c r="Q67" s="10" t="s">
        <v>389</v>
      </c>
      <c r="R67" s="10" t="s">
        <v>140</v>
      </c>
      <c r="S67" s="10" t="s">
        <v>134</v>
      </c>
      <c r="T67" s="2" t="str">
        <f t="shared" si="6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>
      <c r="A68" s="12" t="s">
        <v>363</v>
      </c>
      <c r="B68" s="10" t="s">
        <v>373</v>
      </c>
      <c r="C68" s="105">
        <f>IFERROR((D68*1.5)/1440, "?")</f>
        <v>2.6041666666666668E-2</v>
      </c>
      <c r="D68" s="10">
        <v>25</v>
      </c>
      <c r="E68" s="106">
        <f>IFERROR((D68*6),"?")</f>
        <v>150</v>
      </c>
      <c r="F68" s="107"/>
      <c r="G68" s="10" t="s">
        <v>378</v>
      </c>
      <c r="H68" s="108">
        <v>45985</v>
      </c>
      <c r="I68" s="109"/>
      <c r="J68" s="156" t="s">
        <v>387</v>
      </c>
      <c r="K68" s="10" t="s">
        <v>369</v>
      </c>
      <c r="L68" s="10" t="s">
        <v>140</v>
      </c>
      <c r="M68" s="10" t="s">
        <v>183</v>
      </c>
      <c r="N68" s="12" t="s">
        <v>313</v>
      </c>
      <c r="O68" s="10" t="s">
        <v>185</v>
      </c>
      <c r="P68" s="154" t="s">
        <v>388</v>
      </c>
      <c r="Q68" s="10" t="s">
        <v>389</v>
      </c>
      <c r="R68" s="10" t="s">
        <v>140</v>
      </c>
      <c r="S68" s="10" t="s">
        <v>134</v>
      </c>
      <c r="T68" s="2" t="str">
        <f t="shared" si="6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>
      <c r="A69" s="12" t="s">
        <v>363</v>
      </c>
      <c r="B69" s="10" t="s">
        <v>373</v>
      </c>
      <c r="C69" s="105">
        <f>IFERROR((D69*1.5)/1440, "?")</f>
        <v>0.20833333333333334</v>
      </c>
      <c r="D69" s="10">
        <v>200</v>
      </c>
      <c r="E69" s="106">
        <f>IFERROR((D69*6),"?")</f>
        <v>1200</v>
      </c>
      <c r="F69" s="107"/>
      <c r="G69" s="10" t="s">
        <v>344</v>
      </c>
      <c r="H69" s="108">
        <v>45985</v>
      </c>
      <c r="I69" s="109"/>
      <c r="J69" s="156" t="s">
        <v>390</v>
      </c>
      <c r="K69" s="10" t="s">
        <v>243</v>
      </c>
      <c r="L69" s="10" t="s">
        <v>183</v>
      </c>
      <c r="M69" s="10" t="s">
        <v>183</v>
      </c>
      <c r="N69" s="12" t="s">
        <v>346</v>
      </c>
      <c r="O69" s="10"/>
      <c r="P69" s="154" t="s">
        <v>347</v>
      </c>
      <c r="Q69" s="10"/>
      <c r="R69" s="10" t="s">
        <v>144</v>
      </c>
      <c r="S69" s="10" t="s">
        <v>134</v>
      </c>
      <c r="T69" s="2" t="str">
        <f t="shared" si="6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>
      <c r="A70" s="12" t="s">
        <v>363</v>
      </c>
      <c r="B70" s="10" t="s">
        <v>373</v>
      </c>
      <c r="C70" s="105">
        <f>IFERROR((D70*1.5)/1440, "?")</f>
        <v>0.19479166666666667</v>
      </c>
      <c r="D70" s="10">
        <v>187</v>
      </c>
      <c r="E70" s="106">
        <f>IFERROR((D70*6),"?")</f>
        <v>1122</v>
      </c>
      <c r="F70" s="107"/>
      <c r="G70" s="10" t="s">
        <v>365</v>
      </c>
      <c r="H70" s="108">
        <v>45985</v>
      </c>
      <c r="I70" s="109"/>
      <c r="J70" s="156" t="s">
        <v>390</v>
      </c>
      <c r="K70" s="10" t="s">
        <v>243</v>
      </c>
      <c r="L70" s="10" t="s">
        <v>144</v>
      </c>
      <c r="M70" s="10" t="s">
        <v>183</v>
      </c>
      <c r="N70" s="12" t="s">
        <v>199</v>
      </c>
      <c r="O70" s="10" t="s">
        <v>185</v>
      </c>
      <c r="P70" s="154" t="s">
        <v>347</v>
      </c>
      <c r="Q70" s="10"/>
      <c r="R70" s="10" t="s">
        <v>144</v>
      </c>
      <c r="S70" s="10" t="s">
        <v>135</v>
      </c>
      <c r="T70" s="2" t="str">
        <f t="shared" si="6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>
      <c r="A71" s="12" t="s">
        <v>363</v>
      </c>
      <c r="B71" s="10" t="s">
        <v>373</v>
      </c>
      <c r="C71" s="105">
        <f>IFERROR((D71*1.5)/1440, "?")</f>
        <v>0.15625</v>
      </c>
      <c r="D71" s="10">
        <v>150</v>
      </c>
      <c r="E71" s="106">
        <f>IFERROR((D71*6),"?")</f>
        <v>900</v>
      </c>
      <c r="F71" s="107"/>
      <c r="G71" s="10" t="s">
        <v>381</v>
      </c>
      <c r="H71" s="108">
        <v>45986</v>
      </c>
      <c r="I71" s="109"/>
      <c r="J71" s="156" t="s">
        <v>391</v>
      </c>
      <c r="K71" s="10" t="s">
        <v>369</v>
      </c>
      <c r="L71" s="10" t="s">
        <v>140</v>
      </c>
      <c r="M71" s="10" t="s">
        <v>183</v>
      </c>
      <c r="N71" s="12" t="s">
        <v>313</v>
      </c>
      <c r="O71" s="10" t="s">
        <v>185</v>
      </c>
      <c r="P71" s="154" t="s">
        <v>383</v>
      </c>
      <c r="Q71" s="10" t="s">
        <v>384</v>
      </c>
      <c r="R71" s="10" t="s">
        <v>140</v>
      </c>
      <c r="S71" s="10" t="s">
        <v>134</v>
      </c>
      <c r="T71" s="2" t="str">
        <f t="shared" si="6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>
      <c r="A72" s="12" t="s">
        <v>363</v>
      </c>
      <c r="B72" s="10" t="s">
        <v>373</v>
      </c>
      <c r="C72" s="105">
        <f>IFERROR((D72*1.5)/1440, "?")</f>
        <v>0.15625</v>
      </c>
      <c r="D72" s="10">
        <v>150</v>
      </c>
      <c r="E72" s="106">
        <f>IFERROR((D72*6),"?")</f>
        <v>900</v>
      </c>
      <c r="F72" s="107"/>
      <c r="G72" s="10" t="s">
        <v>385</v>
      </c>
      <c r="H72" s="108">
        <v>45986</v>
      </c>
      <c r="I72" s="109"/>
      <c r="J72" s="156" t="s">
        <v>391</v>
      </c>
      <c r="K72" s="10" t="s">
        <v>369</v>
      </c>
      <c r="L72" s="10" t="s">
        <v>140</v>
      </c>
      <c r="M72" s="10" t="s">
        <v>183</v>
      </c>
      <c r="N72" s="12" t="s">
        <v>313</v>
      </c>
      <c r="O72" s="10" t="s">
        <v>185</v>
      </c>
      <c r="P72" s="154" t="s">
        <v>383</v>
      </c>
      <c r="Q72" s="10" t="s">
        <v>384</v>
      </c>
      <c r="R72" s="10" t="s">
        <v>140</v>
      </c>
      <c r="S72" s="10" t="s">
        <v>134</v>
      </c>
      <c r="T72" s="2" t="str">
        <f t="shared" si="6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>
      <c r="A73" s="12" t="s">
        <v>363</v>
      </c>
      <c r="B73" s="10" t="s">
        <v>373</v>
      </c>
      <c r="C73" s="105">
        <f>IFERROR((D73*1.5)/1440, "?")</f>
        <v>0.15625</v>
      </c>
      <c r="D73" s="10">
        <v>150</v>
      </c>
      <c r="E73" s="106">
        <f>IFERROR((D73*6),"?")</f>
        <v>900</v>
      </c>
      <c r="F73" s="107"/>
      <c r="G73" s="10" t="s">
        <v>386</v>
      </c>
      <c r="H73" s="108">
        <v>45986</v>
      </c>
      <c r="I73" s="109"/>
      <c r="J73" s="156" t="s">
        <v>391</v>
      </c>
      <c r="K73" s="10" t="s">
        <v>369</v>
      </c>
      <c r="L73" s="10" t="s">
        <v>140</v>
      </c>
      <c r="M73" s="10" t="s">
        <v>183</v>
      </c>
      <c r="N73" s="12" t="s">
        <v>313</v>
      </c>
      <c r="O73" s="10" t="s">
        <v>185</v>
      </c>
      <c r="P73" s="154" t="s">
        <v>383</v>
      </c>
      <c r="Q73" s="10" t="s">
        <v>384</v>
      </c>
      <c r="R73" s="10" t="s">
        <v>140</v>
      </c>
      <c r="S73" s="10" t="s">
        <v>134</v>
      </c>
      <c r="T73" s="2" t="str">
        <f t="shared" si="6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>
      <c r="A74" s="12" t="s">
        <v>363</v>
      </c>
      <c r="B74" s="10" t="s">
        <v>373</v>
      </c>
      <c r="C74" s="105">
        <f>IFERROR((D74*1.5)/1440, "?")</f>
        <v>0.14791666666666667</v>
      </c>
      <c r="D74" s="10">
        <v>142</v>
      </c>
      <c r="E74" s="106">
        <f>IFERROR((D74*6),"?")</f>
        <v>852</v>
      </c>
      <c r="F74" s="107"/>
      <c r="G74" s="10" t="s">
        <v>326</v>
      </c>
      <c r="H74" s="108">
        <v>45986</v>
      </c>
      <c r="I74" s="109"/>
      <c r="J74" s="10" t="s">
        <v>392</v>
      </c>
      <c r="K74" s="10" t="s">
        <v>369</v>
      </c>
      <c r="L74" s="10" t="s">
        <v>142</v>
      </c>
      <c r="M74" s="10" t="s">
        <v>183</v>
      </c>
      <c r="N74" s="12" t="s">
        <v>313</v>
      </c>
      <c r="O74" s="10" t="s">
        <v>185</v>
      </c>
      <c r="P74" s="154" t="s">
        <v>393</v>
      </c>
      <c r="Q74" s="10" t="s">
        <v>394</v>
      </c>
      <c r="R74" s="10" t="s">
        <v>142</v>
      </c>
      <c r="S74" s="10" t="s">
        <v>134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>
      <c r="A75" s="12" t="s">
        <v>363</v>
      </c>
      <c r="B75" s="10" t="s">
        <v>373</v>
      </c>
      <c r="C75" s="105">
        <f>IFERROR((D75*1.5)/1440, "?")</f>
        <v>0.14791666666666667</v>
      </c>
      <c r="D75" s="10">
        <v>142</v>
      </c>
      <c r="E75" s="106">
        <f>IFERROR((D75*6),"?")</f>
        <v>852</v>
      </c>
      <c r="F75" s="107"/>
      <c r="G75" s="10" t="s">
        <v>327</v>
      </c>
      <c r="H75" s="108">
        <v>45986</v>
      </c>
      <c r="I75" s="109"/>
      <c r="J75" s="10" t="s">
        <v>392</v>
      </c>
      <c r="K75" s="10" t="s">
        <v>369</v>
      </c>
      <c r="L75" s="10" t="s">
        <v>142</v>
      </c>
      <c r="M75" s="10" t="s">
        <v>183</v>
      </c>
      <c r="N75" s="12" t="s">
        <v>313</v>
      </c>
      <c r="O75" s="10" t="s">
        <v>185</v>
      </c>
      <c r="P75" s="154" t="s">
        <v>393</v>
      </c>
      <c r="Q75" s="10" t="s">
        <v>394</v>
      </c>
      <c r="R75" s="10" t="s">
        <v>142</v>
      </c>
      <c r="S75" s="10" t="s">
        <v>134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>
      <c r="A76" s="12" t="s">
        <v>363</v>
      </c>
      <c r="B76" s="10" t="s">
        <v>373</v>
      </c>
      <c r="C76" s="105">
        <f>IFERROR((D76*1.5)/1440, "?")</f>
        <v>0.14791666666666667</v>
      </c>
      <c r="D76" s="10">
        <v>142</v>
      </c>
      <c r="E76" s="106">
        <v>200</v>
      </c>
      <c r="F76" s="107"/>
      <c r="G76" s="10" t="s">
        <v>367</v>
      </c>
      <c r="H76" s="108">
        <v>45986</v>
      </c>
      <c r="I76" s="109"/>
      <c r="J76" s="10" t="s">
        <v>395</v>
      </c>
      <c r="K76" s="10" t="s">
        <v>369</v>
      </c>
      <c r="L76" s="10" t="s">
        <v>142</v>
      </c>
      <c r="M76" s="10" t="s">
        <v>183</v>
      </c>
      <c r="N76" s="12" t="s">
        <v>313</v>
      </c>
      <c r="O76" s="10" t="s">
        <v>185</v>
      </c>
      <c r="P76" s="154" t="s">
        <v>393</v>
      </c>
      <c r="Q76" s="10" t="s">
        <v>394</v>
      </c>
      <c r="R76" s="10" t="s">
        <v>142</v>
      </c>
      <c r="S76" s="10" t="s">
        <v>137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>
      <c r="A77" s="12" t="s">
        <v>363</v>
      </c>
      <c r="B77" s="10" t="s">
        <v>373</v>
      </c>
      <c r="C77" s="105">
        <f>IFERROR((D77*1.5)/1440, "?")</f>
        <v>0.14791666666666667</v>
      </c>
      <c r="D77" s="10">
        <v>142</v>
      </c>
      <c r="E77" s="106">
        <v>800</v>
      </c>
      <c r="F77" s="107"/>
      <c r="G77" s="10" t="s">
        <v>372</v>
      </c>
      <c r="H77" s="108">
        <v>45986</v>
      </c>
      <c r="I77" s="109"/>
      <c r="J77" s="10" t="s">
        <v>395</v>
      </c>
      <c r="K77" s="10" t="s">
        <v>369</v>
      </c>
      <c r="L77" s="10" t="s">
        <v>142</v>
      </c>
      <c r="M77" s="10" t="s">
        <v>183</v>
      </c>
      <c r="N77" s="12" t="s">
        <v>313</v>
      </c>
      <c r="O77" s="10" t="s">
        <v>185</v>
      </c>
      <c r="P77" s="154" t="s">
        <v>393</v>
      </c>
      <c r="Q77" s="10" t="s">
        <v>394</v>
      </c>
      <c r="R77" s="10" t="s">
        <v>142</v>
      </c>
      <c r="S77" s="10" t="s">
        <v>138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>
      <c r="A78" s="12" t="s">
        <v>363</v>
      </c>
      <c r="B78" s="10" t="s">
        <v>373</v>
      </c>
      <c r="C78" s="105">
        <f>IFERROR((D78*1.5)/1440, "?")</f>
        <v>0.29791666666666666</v>
      </c>
      <c r="D78" s="10">
        <v>286</v>
      </c>
      <c r="E78" s="106">
        <f>IFERROR((D78*6),"?")</f>
        <v>1716</v>
      </c>
      <c r="F78" s="107"/>
      <c r="G78" s="10" t="s">
        <v>326</v>
      </c>
      <c r="H78" s="108">
        <v>45987</v>
      </c>
      <c r="I78" s="109"/>
      <c r="J78" s="10" t="s">
        <v>392</v>
      </c>
      <c r="K78" s="10" t="s">
        <v>369</v>
      </c>
      <c r="L78" s="10" t="s">
        <v>146</v>
      </c>
      <c r="M78" s="10" t="s">
        <v>183</v>
      </c>
      <c r="N78" s="12" t="s">
        <v>313</v>
      </c>
      <c r="O78" s="10" t="s">
        <v>185</v>
      </c>
      <c r="P78" s="154" t="s">
        <v>396</v>
      </c>
      <c r="Q78" s="10" t="s">
        <v>397</v>
      </c>
      <c r="R78" s="10" t="s">
        <v>146</v>
      </c>
      <c r="S78" s="10" t="s">
        <v>134</v>
      </c>
      <c r="T78" s="2" t="str">
        <f t="shared" si="6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>
      <c r="A79" s="12" t="s">
        <v>363</v>
      </c>
      <c r="B79" s="10" t="s">
        <v>373</v>
      </c>
      <c r="C79" s="105">
        <f>IFERROR((D79*1.5)/1440, "?")</f>
        <v>0.29791666666666666</v>
      </c>
      <c r="D79" s="10">
        <v>286</v>
      </c>
      <c r="E79" s="106">
        <f>IFERROR((D79*6),"?")</f>
        <v>1716</v>
      </c>
      <c r="F79" s="107"/>
      <c r="G79" s="10" t="s">
        <v>327</v>
      </c>
      <c r="H79" s="108">
        <v>45987</v>
      </c>
      <c r="I79" s="109"/>
      <c r="J79" s="10" t="s">
        <v>392</v>
      </c>
      <c r="K79" s="10" t="s">
        <v>369</v>
      </c>
      <c r="L79" s="10" t="s">
        <v>146</v>
      </c>
      <c r="M79" s="10" t="s">
        <v>183</v>
      </c>
      <c r="N79" s="12" t="s">
        <v>313</v>
      </c>
      <c r="O79" s="10" t="s">
        <v>185</v>
      </c>
      <c r="P79" s="154" t="s">
        <v>396</v>
      </c>
      <c r="Q79" s="10" t="s">
        <v>397</v>
      </c>
      <c r="R79" s="10" t="s">
        <v>146</v>
      </c>
      <c r="S79" s="10" t="s">
        <v>134</v>
      </c>
      <c r="T79" s="2" t="str">
        <f t="shared" si="6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>
      <c r="A80" s="12" t="s">
        <v>363</v>
      </c>
      <c r="B80" s="10" t="s">
        <v>373</v>
      </c>
      <c r="C80" s="105">
        <f>IFERROR((D80*1.5)/1440, "?")</f>
        <v>0.29791666666666666</v>
      </c>
      <c r="D80" s="10">
        <v>286</v>
      </c>
      <c r="E80" s="106">
        <v>600</v>
      </c>
      <c r="F80" s="107"/>
      <c r="G80" s="10" t="s">
        <v>367</v>
      </c>
      <c r="H80" s="108">
        <v>45987</v>
      </c>
      <c r="I80" s="109"/>
      <c r="J80" s="10" t="s">
        <v>395</v>
      </c>
      <c r="K80" s="10" t="s">
        <v>369</v>
      </c>
      <c r="L80" s="10" t="s">
        <v>146</v>
      </c>
      <c r="M80" s="10" t="s">
        <v>183</v>
      </c>
      <c r="N80" s="12" t="s">
        <v>313</v>
      </c>
      <c r="O80" s="10" t="s">
        <v>185</v>
      </c>
      <c r="P80" s="154" t="s">
        <v>396</v>
      </c>
      <c r="Q80" s="10" t="s">
        <v>397</v>
      </c>
      <c r="R80" s="10" t="s">
        <v>146</v>
      </c>
      <c r="S80" s="10" t="s">
        <v>137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>
      <c r="A81" s="12" t="s">
        <v>363</v>
      </c>
      <c r="B81" s="10" t="s">
        <v>373</v>
      </c>
      <c r="C81" s="105">
        <f>IFERROR((D81*1.5)/1440, "?")</f>
        <v>0.29791666666666666</v>
      </c>
      <c r="D81" s="10">
        <v>286</v>
      </c>
      <c r="E81" s="106">
        <v>1400</v>
      </c>
      <c r="F81" s="107"/>
      <c r="G81" s="10" t="s">
        <v>372</v>
      </c>
      <c r="H81" s="108">
        <v>45987</v>
      </c>
      <c r="I81" s="109"/>
      <c r="J81" s="10" t="s">
        <v>395</v>
      </c>
      <c r="K81" s="10" t="s">
        <v>369</v>
      </c>
      <c r="L81" s="10" t="s">
        <v>146</v>
      </c>
      <c r="M81" s="10" t="s">
        <v>183</v>
      </c>
      <c r="N81" s="12" t="s">
        <v>313</v>
      </c>
      <c r="O81" s="10" t="s">
        <v>185</v>
      </c>
      <c r="P81" s="154" t="s">
        <v>396</v>
      </c>
      <c r="Q81" s="10" t="s">
        <v>397</v>
      </c>
      <c r="R81" s="10" t="s">
        <v>146</v>
      </c>
      <c r="S81" s="10" t="s">
        <v>138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>
      <c r="A82" s="12" t="s">
        <v>398</v>
      </c>
      <c r="B82" s="10" t="s">
        <v>373</v>
      </c>
      <c r="C82" s="105">
        <f>IFERROR((D82*1.5)/1440, "?")</f>
        <v>0.10729166666666666</v>
      </c>
      <c r="D82" s="10">
        <v>103</v>
      </c>
      <c r="E82" s="106">
        <f>IFERROR((D82*6),"?")</f>
        <v>618</v>
      </c>
      <c r="F82" s="107"/>
      <c r="G82" s="10" t="s">
        <v>399</v>
      </c>
      <c r="H82" s="108">
        <v>45989</v>
      </c>
      <c r="I82" s="109"/>
      <c r="J82" s="10" t="s">
        <v>400</v>
      </c>
      <c r="K82" s="10" t="s">
        <v>227</v>
      </c>
      <c r="L82" s="10" t="s">
        <v>140</v>
      </c>
      <c r="M82" s="10" t="s">
        <v>183</v>
      </c>
      <c r="N82" s="12" t="s">
        <v>184</v>
      </c>
      <c r="O82" s="10" t="s">
        <v>185</v>
      </c>
      <c r="P82" s="155" t="s">
        <v>401</v>
      </c>
      <c r="Q82" s="10" t="s">
        <v>402</v>
      </c>
      <c r="R82" s="10" t="s">
        <v>140</v>
      </c>
      <c r="S82" s="10" t="s">
        <v>134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>
      <c r="A83" s="12" t="s">
        <v>398</v>
      </c>
      <c r="B83" s="10" t="s">
        <v>373</v>
      </c>
      <c r="C83" s="105">
        <f>IFERROR((D83*1.5)/1440, "?")</f>
        <v>0.10729166666666666</v>
      </c>
      <c r="D83" s="10">
        <v>103</v>
      </c>
      <c r="E83" s="106">
        <f>IFERROR((D83*6),"?")</f>
        <v>618</v>
      </c>
      <c r="F83" s="107"/>
      <c r="G83" s="10" t="s">
        <v>403</v>
      </c>
      <c r="H83" s="108">
        <v>45989</v>
      </c>
      <c r="I83" s="109"/>
      <c r="J83" s="10" t="s">
        <v>404</v>
      </c>
      <c r="K83" s="10" t="s">
        <v>227</v>
      </c>
      <c r="L83" s="10" t="s">
        <v>140</v>
      </c>
      <c r="M83" s="10" t="s">
        <v>183</v>
      </c>
      <c r="N83" s="12" t="s">
        <v>184</v>
      </c>
      <c r="O83" s="10" t="s">
        <v>185</v>
      </c>
      <c r="P83" s="155" t="s">
        <v>401</v>
      </c>
      <c r="Q83" s="10" t="s">
        <v>402</v>
      </c>
      <c r="R83" s="10" t="s">
        <v>140</v>
      </c>
      <c r="S83" s="10" t="s">
        <v>134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>
      <c r="A84" s="12" t="s">
        <v>398</v>
      </c>
      <c r="B84" s="10" t="s">
        <v>373</v>
      </c>
      <c r="C84" s="105">
        <f>IFERROR((D84*1.5)/1440, "?")</f>
        <v>0.14583333333333334</v>
      </c>
      <c r="D84" s="10">
        <v>140</v>
      </c>
      <c r="E84" s="106">
        <v>200</v>
      </c>
      <c r="F84" s="107"/>
      <c r="G84" s="10" t="s">
        <v>405</v>
      </c>
      <c r="H84" s="108">
        <v>45989</v>
      </c>
      <c r="I84" s="109"/>
      <c r="J84" s="10" t="s">
        <v>406</v>
      </c>
      <c r="K84" s="10" t="s">
        <v>227</v>
      </c>
      <c r="L84" s="10" t="s">
        <v>140</v>
      </c>
      <c r="M84" s="10" t="s">
        <v>183</v>
      </c>
      <c r="N84" s="12" t="s">
        <v>184</v>
      </c>
      <c r="O84" s="10" t="s">
        <v>185</v>
      </c>
      <c r="P84" s="155" t="s">
        <v>407</v>
      </c>
      <c r="Q84" s="10" t="s">
        <v>408</v>
      </c>
      <c r="R84" s="10" t="s">
        <v>140</v>
      </c>
      <c r="S84" s="10" t="s">
        <v>137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>
      <c r="A85" s="12" t="s">
        <v>398</v>
      </c>
      <c r="B85" s="10" t="s">
        <v>373</v>
      </c>
      <c r="C85" s="105">
        <f>IFERROR((D85*1.5)/1440, "?")</f>
        <v>0.14583333333333334</v>
      </c>
      <c r="D85" s="10">
        <v>140</v>
      </c>
      <c r="E85" s="106">
        <v>800</v>
      </c>
      <c r="F85" s="107"/>
      <c r="G85" s="10" t="s">
        <v>409</v>
      </c>
      <c r="H85" s="108">
        <v>45989</v>
      </c>
      <c r="I85" s="109"/>
      <c r="J85" s="10" t="s">
        <v>406</v>
      </c>
      <c r="K85" s="10" t="s">
        <v>227</v>
      </c>
      <c r="L85" s="10" t="s">
        <v>140</v>
      </c>
      <c r="M85" s="10" t="s">
        <v>183</v>
      </c>
      <c r="N85" s="12" t="s">
        <v>184</v>
      </c>
      <c r="O85" s="10" t="s">
        <v>185</v>
      </c>
      <c r="P85" s="155" t="s">
        <v>407</v>
      </c>
      <c r="Q85" s="10" t="s">
        <v>408</v>
      </c>
      <c r="R85" s="10" t="s">
        <v>140</v>
      </c>
      <c r="S85" s="10" t="s">
        <v>138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17" priority="1">
      <formula>$A2="EM ROTA (D)"</formula>
    </cfRule>
    <cfRule type="expression" dxfId="116" priority="2">
      <formula>$A2="CONCLUIDO"</formula>
    </cfRule>
    <cfRule type="expression" dxfId="115" priority="3">
      <formula>MID(TRIM($A2), LEN(TRIM($A2))-2, 3)="(D)"</formula>
    </cfRule>
    <cfRule type="expression" dxfId="114" priority="4">
      <formula>AND(INT($H2)=TODAY()+1, COUNTIF($A2:$A2,"CONCLUIDO*")+COUNTIF($A2:$A2,"CONCLUÍDO*")=0)</formula>
    </cfRule>
    <cfRule type="expression" dxfId="113" priority="5">
      <formula>AND(INT($H2)=TODAY(), COUNTIF($A2:$A2,"CONCLUIDO*")+COUNTIF($A2:$A2,"CONCLUÍDO*")=0)</formula>
    </cfRule>
    <cfRule type="expression" dxfId="112" priority="6">
      <formula>$A2="RECEBIDO"</formula>
    </cfRule>
    <cfRule type="expression" dxfId="111" priority="7">
      <formula>$A2="EM ROTA"</formula>
    </cfRule>
    <cfRule type="expression" dxfId="110" priority="8">
      <formula>$A2="RECEBIDO (D)"</formula>
    </cfRule>
    <cfRule type="expression" dxfId="109" priority="10">
      <formula>$A2="SUSPENSO"</formula>
    </cfRule>
    <cfRule type="expression" dxfId="108" priority="11">
      <formula>$A2="PROGRAMADO (D)"</formula>
    </cfRule>
    <cfRule type="expression" dxfId="107" priority="12">
      <formula>$A2="PROGRAMADO"</formula>
    </cfRule>
    <cfRule type="expression" dxfId="106" priority="13">
      <formula>$A2="CONCLUIDO (D)"</formula>
    </cfRule>
    <cfRule type="expression" dxfId="10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5" r:id="rId7" xr:uid="{4A47B6B5-05B6-4FD2-8E18-430E1F960A69}"/>
    <hyperlink ref="P4" r:id="rId8" xr:uid="{2A6D3CC1-EA49-4F77-A043-5FC210C3BD02}"/>
    <hyperlink ref="P3" r:id="rId9" xr:uid="{C1AEFEB4-9C29-429C-8EEC-AAFC0B6CDFBB}"/>
    <hyperlink ref="P28" r:id="rId10" xr:uid="{5B4D843B-82B6-4F9B-8F0A-834801B5E06F}"/>
    <hyperlink ref="P8" r:id="rId11" xr:uid="{D68746AF-56C7-464A-9E01-B0AAC1599751}"/>
    <hyperlink ref="P7" r:id="rId12" xr:uid="{ADE12B44-2900-4C30-B47E-F03F78CA75BC}"/>
    <hyperlink ref="P15" r:id="rId13" xr:uid="{07D0604E-38E9-4ABE-96F7-184A04908147}"/>
    <hyperlink ref="O10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2" r:id="rId18" xr:uid="{49E32A6B-1D53-44FA-A63E-AE7ED51C6BB4}"/>
    <hyperlink ref="O51" r:id="rId19" xr:uid="{A563442D-4636-4B28-AF55-E73353D5A8FF}"/>
    <hyperlink ref="P43" r:id="rId20" xr:uid="{DDBBA29C-7E12-4A7F-B1BD-729F97F36EC0}"/>
    <hyperlink ref="P42" r:id="rId21" xr:uid="{69A0E6A3-CB05-4831-88C8-C264BA5A02A4}"/>
    <hyperlink ref="P41" r:id="rId22" xr:uid="{EA0E728B-082A-4496-941D-57DBFD0CF285}"/>
    <hyperlink ref="P38" r:id="rId23" xr:uid="{4C03A0CE-188D-4B68-9A99-91D9CEAF9E18}"/>
    <hyperlink ref="P36" r:id="rId24" xr:uid="{13EDB386-4E0E-4D1A-BCA6-19F27986D489}"/>
    <hyperlink ref="P35" r:id="rId25" xr:uid="{34B9268E-7F86-4722-B0B6-B35B9B9B3993}"/>
    <hyperlink ref="P39" r:id="rId26" xr:uid="{3FE4D758-9688-4B06-AA49-8C53988C80C6}"/>
    <hyperlink ref="P40" r:id="rId27" xr:uid="{016F82C3-CFE1-44B2-98E2-0C724A7F1702}"/>
    <hyperlink ref="P48" r:id="rId28" xr:uid="{9C1805EF-7356-427A-9CA4-1FF7694899C4}"/>
    <hyperlink ref="P47" r:id="rId29" xr:uid="{9FC39184-978C-43D1-A98E-8E82D9F098F0}"/>
    <hyperlink ref="P50" r:id="rId30" xr:uid="{70D4D829-DA8C-40E6-BD6E-B7282DF4A657}"/>
    <hyperlink ref="P55" r:id="rId31" xr:uid="{96286438-362B-40DD-B9A3-7A3553982567}"/>
    <hyperlink ref="P54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53" r:id="rId54" xr:uid="{80FCD3D6-886A-4753-BD5E-76BF381F09DD}"/>
    <hyperlink ref="P57" r:id="rId55" xr:uid="{35C8F299-0431-4154-BA8E-D57684DD5AFF}"/>
    <hyperlink ref="P56" r:id="rId56" xr:uid="{039A2838-E872-4E04-BD73-2D02C60901F5}"/>
    <hyperlink ref="P44" r:id="rId57" xr:uid="{10916CED-24C0-44F1-BF83-3DF6225C255A}"/>
    <hyperlink ref="P45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3"/>
  <sheetViews>
    <sheetView showGridLines="0" zoomScaleNormal="100" workbookViewId="0">
      <pane ySplit="1" topLeftCell="A2" activePane="bottomLeft" state="frozen"/>
      <selection pane="bottomLeft" activeCell="G68" sqref="G68:G70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80" bestFit="1" customWidth="1"/>
    <col min="5" max="5" width="10.85546875" style="1" bestFit="1" customWidth="1"/>
    <col min="6" max="6" width="29" style="15" bestFit="1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172</v>
      </c>
      <c r="B1" s="1" t="s">
        <v>410</v>
      </c>
      <c r="C1" s="16" t="s">
        <v>411</v>
      </c>
      <c r="D1" s="80" t="s">
        <v>412</v>
      </c>
      <c r="E1" s="1" t="s">
        <v>413</v>
      </c>
      <c r="F1" s="15" t="s">
        <v>414</v>
      </c>
      <c r="G1" s="14" t="s">
        <v>415</v>
      </c>
      <c r="H1" s="4" t="s">
        <v>416</v>
      </c>
      <c r="I1" s="15" t="s">
        <v>417</v>
      </c>
      <c r="J1" s="16" t="s">
        <v>418</v>
      </c>
      <c r="K1" s="78" t="s">
        <v>419</v>
      </c>
      <c r="L1" s="15" t="s">
        <v>420</v>
      </c>
    </row>
    <row r="2" spans="1:12">
      <c r="A2" s="4" t="s">
        <v>154</v>
      </c>
      <c r="B2" s="1" t="s">
        <v>421</v>
      </c>
      <c r="C2" s="16">
        <v>45971</v>
      </c>
      <c r="D2" s="1" t="s">
        <v>422</v>
      </c>
      <c r="E2" s="1" t="str">
        <f>_xlfn.XLOOKUP(F2,UTIL!Q:Q,UTIL!N:N,"-")</f>
        <v>076669324</v>
      </c>
      <c r="F2" s="15" t="s">
        <v>423</v>
      </c>
      <c r="G2" s="14">
        <v>133.13</v>
      </c>
      <c r="H2" s="4" t="s">
        <v>424</v>
      </c>
      <c r="I2" s="15" t="s">
        <v>425</v>
      </c>
      <c r="J2" s="16">
        <v>45964</v>
      </c>
      <c r="K2" s="79" t="s">
        <v>426</v>
      </c>
      <c r="L2" s="15" t="str">
        <f>TEXT($C2,"dd.mm") &amp; " -Ped " &amp; D2 &amp; " -" &amp; F2 &amp; " -R$" &amp; G2 &amp; IF(LEN(TRIM(I2))=0, "", " -NF " &amp; TRIM(I2))</f>
        <v>10.11 -Ped 047116 -DER - AET VEICULOS -R$133,13 -NF BOLETO</v>
      </c>
    </row>
    <row r="3" spans="1:12">
      <c r="A3" s="4" t="s">
        <v>155</v>
      </c>
      <c r="B3" s="1" t="s">
        <v>421</v>
      </c>
      <c r="C3" s="16">
        <v>45966</v>
      </c>
      <c r="D3" s="1" t="s">
        <v>427</v>
      </c>
      <c r="E3" s="1" t="str">
        <f>_xlfn.XLOOKUP(F3,UTIL!Q:Q,UTIL!N:N,"-")</f>
        <v>078206513</v>
      </c>
      <c r="F3" s="15" t="s">
        <v>428</v>
      </c>
      <c r="G3" s="14">
        <v>156.18</v>
      </c>
      <c r="H3" s="4" t="s">
        <v>424</v>
      </c>
      <c r="I3" s="15" t="s">
        <v>425</v>
      </c>
      <c r="J3" s="16">
        <v>45964</v>
      </c>
      <c r="K3" s="79" t="s">
        <v>429</v>
      </c>
      <c r="L3" s="15" t="str">
        <f>TEXT($C3,"dd.mm") &amp; " -Ped " &amp; D3 &amp; " -" &amp; F3 &amp; " -R$" &amp; G3 &amp; IF(LEN(TRIM(I3))=0, "", " -NF " &amp; TRIM(I3))</f>
        <v>05.11 -Ped 047117 -DETRAN PR -R$156,18 -NF BOLETO</v>
      </c>
    </row>
    <row r="4" spans="1:12">
      <c r="A4" s="4" t="s">
        <v>155</v>
      </c>
      <c r="B4" s="1" t="s">
        <v>421</v>
      </c>
      <c r="C4" s="16">
        <v>45966</v>
      </c>
      <c r="D4" s="1" t="s">
        <v>427</v>
      </c>
      <c r="E4" s="1" t="str">
        <f>_xlfn.XLOOKUP(F4,UTIL!Q:Q,UTIL!N:N,"-")</f>
        <v>078206513</v>
      </c>
      <c r="F4" s="15" t="s">
        <v>428</v>
      </c>
      <c r="G4" s="14">
        <v>94.61</v>
      </c>
      <c r="H4" s="4" t="s">
        <v>424</v>
      </c>
      <c r="I4" s="15" t="s">
        <v>425</v>
      </c>
      <c r="J4" s="16">
        <v>45964</v>
      </c>
      <c r="K4" s="79" t="s">
        <v>430</v>
      </c>
      <c r="L4" s="15" t="str">
        <f>TEXT($C4,"dd.mm") &amp; " -Ped " &amp; D4 &amp; " -" &amp; F4 &amp; " -R$" &amp; G4 &amp; IF(LEN(TRIM(I4))=0, "", " -NF " &amp; TRIM(I4))</f>
        <v>05.11 -Ped 047117 -DETRAN PR -R$94,61 -NF BOLETO</v>
      </c>
    </row>
    <row r="5" spans="1:12">
      <c r="A5" s="4" t="s">
        <v>154</v>
      </c>
      <c r="B5" s="1" t="s">
        <v>421</v>
      </c>
      <c r="C5" s="16">
        <v>45989</v>
      </c>
      <c r="D5" s="1" t="s">
        <v>427</v>
      </c>
      <c r="E5" s="1" t="str">
        <f>_xlfn.XLOOKUP(F5,UTIL!Q:Q,UTIL!N:N,"-")</f>
        <v>078206513</v>
      </c>
      <c r="F5" s="15" t="s">
        <v>428</v>
      </c>
      <c r="G5" s="14">
        <v>275.77999999999997</v>
      </c>
      <c r="H5" s="4" t="s">
        <v>424</v>
      </c>
      <c r="I5" s="15" t="s">
        <v>425</v>
      </c>
      <c r="J5" s="16">
        <v>45964</v>
      </c>
      <c r="K5" s="79" t="s">
        <v>431</v>
      </c>
      <c r="L5" s="15" t="str">
        <f>TEXT($C5,"dd.mm") &amp; " -Ped " &amp; D5 &amp; " -" &amp; F5 &amp; " -R$" &amp; G5 &amp; IF(LEN(TRIM(I5))=0, "", " -NF " &amp; TRIM(I5))</f>
        <v>28.11 -Ped 047117 -DETRAN PR -R$275,78 -NF BOLETO</v>
      </c>
    </row>
    <row r="6" spans="1:12">
      <c r="A6" s="4" t="s">
        <v>154</v>
      </c>
      <c r="B6" s="1" t="s">
        <v>421</v>
      </c>
      <c r="C6" s="16">
        <v>45989</v>
      </c>
      <c r="D6" s="1" t="s">
        <v>427</v>
      </c>
      <c r="E6" s="1" t="str">
        <f>_xlfn.XLOOKUP(F6,UTIL!Q:Q,UTIL!N:N,"-")</f>
        <v>078206513</v>
      </c>
      <c r="F6" s="15" t="s">
        <v>428</v>
      </c>
      <c r="G6" s="14">
        <v>140.66999999999999</v>
      </c>
      <c r="H6" s="4" t="s">
        <v>424</v>
      </c>
      <c r="I6" s="15" t="s">
        <v>425</v>
      </c>
      <c r="J6" s="16">
        <v>45964</v>
      </c>
      <c r="K6" s="79" t="s">
        <v>431</v>
      </c>
      <c r="L6" s="15" t="str">
        <f>TEXT($C6,"dd.mm") &amp; " -Ped " &amp; D6 &amp; " -" &amp; F6 &amp; " -R$" &amp; G6 &amp; IF(LEN(TRIM(I6))=0, "", " -NF " &amp; TRIM(I6))</f>
        <v>28.11 -Ped 047117 -DETRAN PR -R$140,67 -NF BOLETO</v>
      </c>
    </row>
    <row r="7" spans="1:12">
      <c r="A7" s="4" t="s">
        <v>154</v>
      </c>
      <c r="B7" s="1" t="s">
        <v>421</v>
      </c>
      <c r="C7" s="16">
        <v>45965</v>
      </c>
      <c r="D7" s="1" t="s">
        <v>432</v>
      </c>
      <c r="E7" s="1" t="str">
        <f>_xlfn.XLOOKUP(F7,UTIL!Q:Q,UTIL!N:N,"-")</f>
        <v>004892707</v>
      </c>
      <c r="F7" s="15" t="s">
        <v>433</v>
      </c>
      <c r="G7" s="14">
        <v>87.62</v>
      </c>
      <c r="H7" s="4" t="s">
        <v>424</v>
      </c>
      <c r="I7" s="15" t="s">
        <v>425</v>
      </c>
      <c r="J7" s="16">
        <v>45965</v>
      </c>
      <c r="K7" s="79" t="s">
        <v>434</v>
      </c>
      <c r="L7" s="15" t="str">
        <f>TEXT($C7,"dd.mm") &amp; " -Ped " &amp; D7 &amp; " -" &amp; F7 &amp; " -R$" &amp; G7 &amp; IF(LEN(TRIM(I7))=0, "", " -NF " &amp; TRIM(I7))</f>
        <v>04.11 -Ped 047178 -DNIT -R$87,62 -NF BOLETO</v>
      </c>
    </row>
    <row r="8" spans="1:12">
      <c r="A8" s="4" t="s">
        <v>435</v>
      </c>
      <c r="B8" s="1" t="s">
        <v>144</v>
      </c>
      <c r="C8" s="16">
        <v>45964</v>
      </c>
      <c r="D8" s="1" t="s">
        <v>436</v>
      </c>
      <c r="E8" s="1" t="str">
        <f>_xlfn.XLOOKUP(F8,UTIL!Q:Q,UTIL!N:N,"-")</f>
        <v>027525938</v>
      </c>
      <c r="F8" s="15" t="s">
        <v>437</v>
      </c>
      <c r="G8" s="14">
        <v>1100</v>
      </c>
      <c r="H8" s="4" t="s">
        <v>424</v>
      </c>
      <c r="I8" s="15">
        <v>2967</v>
      </c>
      <c r="J8" s="16">
        <v>45965</v>
      </c>
      <c r="K8" s="79" t="s">
        <v>438</v>
      </c>
      <c r="L8" s="15" t="str">
        <f>TEXT($C8,"dd.mm") &amp; " -Ped " &amp; D8 &amp; " -" &amp; F8 &amp; " -R$" &amp; G8 &amp; IF(LEN(TRIM(I8))=0, "", " -NF " &amp; TRIM(I8))</f>
        <v>03.11 -Ped 047186 -ESC TRANSPORTES -R$1100 -NF 2967</v>
      </c>
    </row>
    <row r="9" spans="1:12">
      <c r="A9" s="4" t="s">
        <v>435</v>
      </c>
      <c r="B9" s="1" t="s">
        <v>148</v>
      </c>
      <c r="C9" s="16">
        <v>45964</v>
      </c>
      <c r="D9" s="1" t="s">
        <v>439</v>
      </c>
      <c r="E9" s="1" t="str">
        <f>_xlfn.XLOOKUP(F9,UTIL!Q:Q,UTIL!N:N,"-")</f>
        <v>027525938</v>
      </c>
      <c r="F9" s="15" t="s">
        <v>437</v>
      </c>
      <c r="G9" s="14">
        <v>550</v>
      </c>
      <c r="H9" s="4" t="s">
        <v>424</v>
      </c>
      <c r="I9" s="15">
        <v>2965</v>
      </c>
      <c r="J9" s="16">
        <v>45965</v>
      </c>
      <c r="K9" s="79" t="s">
        <v>438</v>
      </c>
      <c r="L9" s="15" t="str">
        <f>TEXT($C9,"dd.mm") &amp; " -Ped " &amp; D9 &amp; " -" &amp; F9 &amp; " -R$" &amp; G9 &amp; IF(LEN(TRIM(I9))=0, "", " -NF " &amp; TRIM(I9))</f>
        <v>03.11 -Ped 047187 -ESC TRANSPORTES -R$550 -NF 2965</v>
      </c>
    </row>
    <row r="10" spans="1:12">
      <c r="A10" s="4" t="s">
        <v>435</v>
      </c>
      <c r="B10" s="1" t="s">
        <v>421</v>
      </c>
      <c r="C10" s="16">
        <v>45964</v>
      </c>
      <c r="D10" s="1" t="s">
        <v>440</v>
      </c>
      <c r="E10" s="1" t="str">
        <f>_xlfn.XLOOKUP(F10,UTIL!Q:Q,UTIL!N:N,"-")</f>
        <v>027525938</v>
      </c>
      <c r="F10" s="15" t="s">
        <v>437</v>
      </c>
      <c r="G10" s="14">
        <v>600</v>
      </c>
      <c r="H10" s="4" t="s">
        <v>424</v>
      </c>
      <c r="I10" s="15">
        <v>2964</v>
      </c>
      <c r="J10" s="16">
        <v>45965</v>
      </c>
      <c r="K10" s="79" t="s">
        <v>438</v>
      </c>
      <c r="L10" s="15" t="str">
        <f>TEXT($C10,"dd.mm") &amp; " -Ped " &amp; D10 &amp; " -" &amp; F10 &amp; " -R$" &amp; G10 &amp; IF(LEN(TRIM(I10))=0, "", " -NF " &amp; TRIM(I10))</f>
        <v>03.11 -Ped 047188 -ESC TRANSPORTES -R$600 -NF 2964</v>
      </c>
    </row>
    <row r="11" spans="1:12">
      <c r="A11" s="4" t="s">
        <v>435</v>
      </c>
      <c r="B11" s="1" t="s">
        <v>441</v>
      </c>
      <c r="C11" s="16">
        <v>45964</v>
      </c>
      <c r="D11" s="1" t="s">
        <v>442</v>
      </c>
      <c r="E11" s="1" t="str">
        <f>_xlfn.XLOOKUP(F11,UTIL!Q:Q,UTIL!N:N,"-")</f>
        <v>027525938</v>
      </c>
      <c r="F11" s="15" t="s">
        <v>437</v>
      </c>
      <c r="G11" s="14">
        <v>550</v>
      </c>
      <c r="H11" s="4" t="s">
        <v>424</v>
      </c>
      <c r="I11" s="15">
        <v>2963</v>
      </c>
      <c r="J11" s="16">
        <v>45965</v>
      </c>
      <c r="K11" s="79" t="s">
        <v>438</v>
      </c>
      <c r="L11" s="15" t="str">
        <f>TEXT($C11,"dd.mm") &amp; " -Ped " &amp; D11 &amp; " -" &amp; F11 &amp; " -R$" &amp; G11 &amp; IF(LEN(TRIM(I11))=0, "", " -NF " &amp; TRIM(I11))</f>
        <v>03.11 -Ped 047189 -ESC TRANSPORTES -R$550 -NF 2963</v>
      </c>
    </row>
    <row r="12" spans="1:12">
      <c r="A12" s="4" t="s">
        <v>435</v>
      </c>
      <c r="B12" s="1" t="s">
        <v>142</v>
      </c>
      <c r="C12" s="16">
        <v>45964</v>
      </c>
      <c r="D12" s="1" t="s">
        <v>443</v>
      </c>
      <c r="E12" s="1" t="str">
        <f>_xlfn.XLOOKUP(F12,UTIL!Q:Q,UTIL!N:N,"-")</f>
        <v>027525938</v>
      </c>
      <c r="F12" s="15" t="s">
        <v>437</v>
      </c>
      <c r="G12" s="14">
        <v>850</v>
      </c>
      <c r="H12" s="4" t="s">
        <v>424</v>
      </c>
      <c r="I12" s="15">
        <v>2962</v>
      </c>
      <c r="J12" s="16">
        <v>45965</v>
      </c>
      <c r="K12" s="79" t="s">
        <v>438</v>
      </c>
      <c r="L12" s="15" t="str">
        <f>TEXT($C12,"dd.mm") &amp; " -Ped " &amp; D12 &amp; " -" &amp; F12 &amp; " -R$" &amp; G12 &amp; IF(LEN(TRIM(I12))=0, "", " -NF " &amp; TRIM(I12))</f>
        <v>03.11 -Ped 047190 -ESC TRANSPORTES -R$850 -NF 2962</v>
      </c>
    </row>
    <row r="13" spans="1:12">
      <c r="A13" s="4" t="s">
        <v>435</v>
      </c>
      <c r="B13" s="1" t="s">
        <v>444</v>
      </c>
      <c r="C13" s="16">
        <v>45964</v>
      </c>
      <c r="D13" s="1" t="s">
        <v>445</v>
      </c>
      <c r="E13" s="1" t="str">
        <f>_xlfn.XLOOKUP(F13,UTIL!Q:Q,UTIL!N:N,"-")</f>
        <v>027525938</v>
      </c>
      <c r="F13" s="15" t="s">
        <v>437</v>
      </c>
      <c r="G13" s="14">
        <v>1100</v>
      </c>
      <c r="H13" s="4" t="s">
        <v>424</v>
      </c>
      <c r="I13" s="15">
        <v>2969</v>
      </c>
      <c r="J13" s="16">
        <v>45965</v>
      </c>
      <c r="K13" s="79" t="s">
        <v>438</v>
      </c>
      <c r="L13" s="15" t="str">
        <f>TEXT($C13,"dd.mm") &amp; " -Ped " &amp; D13 &amp; " -" &amp; F13 &amp; " -R$" &amp; G13 &amp; IF(LEN(TRIM(I13))=0, "", " -NF " &amp; TRIM(I13))</f>
        <v>03.11 -Ped 047192 -ESC TRANSPORTES -R$1100 -NF 2969</v>
      </c>
    </row>
    <row r="14" spans="1:12">
      <c r="A14" s="4" t="s">
        <v>435</v>
      </c>
      <c r="B14" s="1" t="s">
        <v>146</v>
      </c>
      <c r="C14" s="16">
        <v>45964</v>
      </c>
      <c r="D14" s="1" t="s">
        <v>446</v>
      </c>
      <c r="E14" s="1" t="str">
        <f>_xlfn.XLOOKUP(F14,UTIL!Q:Q,UTIL!N:N,"-")</f>
        <v>027525938</v>
      </c>
      <c r="F14" s="15" t="s">
        <v>437</v>
      </c>
      <c r="G14" s="14">
        <v>830</v>
      </c>
      <c r="H14" s="4" t="s">
        <v>424</v>
      </c>
      <c r="I14" s="15">
        <v>2968</v>
      </c>
      <c r="J14" s="16">
        <v>45965</v>
      </c>
      <c r="K14" s="79" t="s">
        <v>438</v>
      </c>
      <c r="L14" s="15" t="str">
        <f>TEXT($C14,"dd.mm") &amp; " -Ped " &amp; D14 &amp; " -" &amp; F14 &amp; " -R$" &amp; G14 &amp; IF(LEN(TRIM(I14))=0, "", " -NF " &amp; TRIM(I14))</f>
        <v>03.11 -Ped 047193 -ESC TRANSPORTES -R$830 -NF 2968</v>
      </c>
    </row>
    <row r="15" spans="1:12">
      <c r="A15" s="4" t="s">
        <v>447</v>
      </c>
      <c r="B15" s="1" t="s">
        <v>441</v>
      </c>
      <c r="C15" s="16">
        <v>45965</v>
      </c>
      <c r="D15" s="1" t="s">
        <v>448</v>
      </c>
      <c r="E15" s="1" t="str">
        <f>_xlfn.XLOOKUP(F15,UTIL!Q:Q,UTIL!N:N,"-")</f>
        <v>034154225</v>
      </c>
      <c r="F15" s="15" t="s">
        <v>449</v>
      </c>
      <c r="G15" s="14">
        <v>150</v>
      </c>
      <c r="H15" s="4" t="s">
        <v>424</v>
      </c>
      <c r="I15" s="15">
        <v>420</v>
      </c>
      <c r="J15" s="16">
        <v>45967</v>
      </c>
      <c r="K15" s="79" t="s">
        <v>450</v>
      </c>
      <c r="L15" s="15" t="str">
        <f>TEXT($C15,"dd.mm") &amp; " -Ped " &amp; D15 &amp; " -" &amp; F15 &amp; " -R$" &amp; G15 &amp; IF(LEN(TRIM(I15))=0, "", " -NF " &amp; TRIM(I15))</f>
        <v>04.11 -Ped 047199 -JOHN ELVIS COURIER -R$150 -NF 420</v>
      </c>
    </row>
    <row r="16" spans="1:12">
      <c r="A16" s="4" t="s">
        <v>447</v>
      </c>
      <c r="B16" s="1" t="s">
        <v>148</v>
      </c>
      <c r="C16" s="16">
        <v>45964</v>
      </c>
      <c r="D16" s="1" t="s">
        <v>451</v>
      </c>
      <c r="E16" s="1" t="str">
        <f>_xlfn.XLOOKUP(F16,UTIL!Q:Q,UTIL!N:N,"-")</f>
        <v>049138592</v>
      </c>
      <c r="F16" s="15" t="s">
        <v>452</v>
      </c>
      <c r="G16" s="14">
        <v>180</v>
      </c>
      <c r="H16" s="4" t="s">
        <v>424</v>
      </c>
      <c r="I16" s="15">
        <v>245</v>
      </c>
      <c r="J16" s="16">
        <v>45969</v>
      </c>
      <c r="K16" s="79" t="s">
        <v>453</v>
      </c>
      <c r="L16" s="15" t="str">
        <f>TEXT($C16,"dd.mm") &amp; " -Ped " &amp; D16 &amp; " -" &amp; F16 &amp; " -R$" &amp; G16 &amp; IF(LEN(TRIM(I16))=0, "", " -NF " &amp; TRIM(I16))</f>
        <v>03.11 -Ped 047233 -DELTA MOTOS COURIER -R$180 -NF 245</v>
      </c>
    </row>
    <row r="17" spans="1:12">
      <c r="A17" s="4" t="s">
        <v>447</v>
      </c>
      <c r="B17" s="1" t="s">
        <v>144</v>
      </c>
      <c r="C17" s="16">
        <v>45964</v>
      </c>
      <c r="D17" s="1" t="s">
        <v>454</v>
      </c>
      <c r="E17" s="1" t="str">
        <f>_xlfn.XLOOKUP(F17,UTIL!Q:Q,UTIL!N:N,"-")</f>
        <v>049138592</v>
      </c>
      <c r="F17" s="15" t="s">
        <v>452</v>
      </c>
      <c r="G17" s="14">
        <v>990</v>
      </c>
      <c r="H17" s="4" t="s">
        <v>424</v>
      </c>
      <c r="I17" s="15">
        <v>244</v>
      </c>
      <c r="J17" s="16">
        <v>45970</v>
      </c>
      <c r="K17" s="79"/>
      <c r="L17" s="15" t="str">
        <f>TEXT($C17,"dd.mm") &amp; " -Ped " &amp; D17 &amp; " -" &amp; F17 &amp; " -R$" &amp; G17 &amp; IF(LEN(TRIM(I17))=0, "", " -NF " &amp; TRIM(I17))</f>
        <v>03.11 -Ped 047243 -DELTA MOTOS COURIER -R$990 -NF 244</v>
      </c>
    </row>
    <row r="18" spans="1:12">
      <c r="A18" s="4" t="s">
        <v>447</v>
      </c>
      <c r="B18" s="1" t="s">
        <v>441</v>
      </c>
      <c r="C18" s="16">
        <v>45964</v>
      </c>
      <c r="D18" s="1" t="s">
        <v>455</v>
      </c>
      <c r="E18" s="1" t="str">
        <f>_xlfn.XLOOKUP(F18,UTIL!Q:Q,UTIL!N:N,"-")</f>
        <v>049138592</v>
      </c>
      <c r="F18" s="15" t="s">
        <v>452</v>
      </c>
      <c r="G18" s="14">
        <v>245</v>
      </c>
      <c r="H18" s="4" t="s">
        <v>424</v>
      </c>
      <c r="I18" s="15">
        <v>243</v>
      </c>
      <c r="J18" s="16">
        <v>45971</v>
      </c>
      <c r="K18" s="79"/>
      <c r="L18" s="15" t="str">
        <f>TEXT($C18,"dd.mm") &amp; " -Ped " &amp; D18 &amp; " -" &amp; F18 &amp; " -R$" &amp; G18 &amp; IF(LEN(TRIM(I18))=0, "", " -NF " &amp; TRIM(I18))</f>
        <v>03.11 -Ped 047244 -DELTA MOTOS COURIER -R$245 -NF 243</v>
      </c>
    </row>
    <row r="19" spans="1:12">
      <c r="A19" s="4" t="s">
        <v>447</v>
      </c>
      <c r="B19" s="1" t="s">
        <v>444</v>
      </c>
      <c r="C19" s="16">
        <v>45964</v>
      </c>
      <c r="D19" s="1" t="s">
        <v>456</v>
      </c>
      <c r="E19" s="1" t="str">
        <f>_xlfn.XLOOKUP(F19,UTIL!Q:Q,UTIL!N:N,"-")</f>
        <v>049138592</v>
      </c>
      <c r="F19" s="15" t="s">
        <v>452</v>
      </c>
      <c r="G19" s="14">
        <v>550</v>
      </c>
      <c r="H19" s="4" t="s">
        <v>424</v>
      </c>
      <c r="I19" s="15">
        <v>246</v>
      </c>
      <c r="J19" s="16">
        <v>45968</v>
      </c>
      <c r="K19" s="79"/>
      <c r="L19" s="15" t="str">
        <f>TEXT($C19,"dd.mm") &amp; " -Ped " &amp; D19 &amp; " -" &amp; F19 &amp; " -R$" &amp; G19 &amp; IF(LEN(TRIM(I19))=0, "", " -NF " &amp; TRIM(I19))</f>
        <v>03.11 -Ped 047246 -DELTA MOTOS COURIER -R$550 -NF 246</v>
      </c>
    </row>
    <row r="20" spans="1:12">
      <c r="A20" s="4" t="s">
        <v>447</v>
      </c>
      <c r="B20" s="1" t="s">
        <v>146</v>
      </c>
      <c r="C20" s="16">
        <v>45964</v>
      </c>
      <c r="D20" s="1" t="s">
        <v>457</v>
      </c>
      <c r="E20" s="1" t="str">
        <f>_xlfn.XLOOKUP(F20,UTIL!Q:Q,UTIL!N:N,"-")</f>
        <v>049138592</v>
      </c>
      <c r="F20" s="15" t="s">
        <v>452</v>
      </c>
      <c r="G20" s="14">
        <v>1210</v>
      </c>
      <c r="H20" s="4" t="s">
        <v>424</v>
      </c>
      <c r="I20" s="15">
        <v>247</v>
      </c>
      <c r="J20" s="16">
        <v>45967</v>
      </c>
      <c r="K20" s="79" t="s">
        <v>458</v>
      </c>
      <c r="L20" s="15" t="str">
        <f>TEXT($C20,"dd.mm") &amp; " -Ped " &amp; D20 &amp; " -" &amp; F20 &amp; " -R$" &amp; G20 &amp; IF(LEN(TRIM(I20))=0, "", " -NF " &amp; TRIM(I20))</f>
        <v>03.11 -Ped 047247 -DELTA MOTOS COURIER -R$1210 -NF 247</v>
      </c>
    </row>
    <row r="21" spans="1:12">
      <c r="A21" s="4" t="s">
        <v>447</v>
      </c>
      <c r="B21" s="1" t="s">
        <v>421</v>
      </c>
      <c r="C21" s="16">
        <v>45964</v>
      </c>
      <c r="D21" s="1" t="s">
        <v>459</v>
      </c>
      <c r="E21" s="1" t="str">
        <f>_xlfn.XLOOKUP(F21,UTIL!Q:Q,UTIL!N:N,"-")</f>
        <v>049138592</v>
      </c>
      <c r="F21" s="15" t="s">
        <v>452</v>
      </c>
      <c r="G21" s="14">
        <v>8245</v>
      </c>
      <c r="H21" s="4" t="s">
        <v>424</v>
      </c>
      <c r="I21" s="15">
        <v>242</v>
      </c>
      <c r="J21" s="16">
        <v>45972</v>
      </c>
      <c r="K21" s="79"/>
      <c r="L21" s="15" t="str">
        <f>TEXT($C21,"dd.mm") &amp; " -Ped " &amp; D21 &amp; " -" &amp; F21 &amp; " -R$" &amp; G21 &amp; IF(LEN(TRIM(I21))=0, "", " -NF " &amp; TRIM(I21))</f>
        <v>03.11 -Ped 047249 -DELTA MOTOS COURIER -R$8245 -NF 242</v>
      </c>
    </row>
    <row r="22" spans="1:12">
      <c r="A22" s="4" t="s">
        <v>447</v>
      </c>
      <c r="B22" s="1" t="s">
        <v>146</v>
      </c>
      <c r="C22" s="16">
        <v>45964</v>
      </c>
      <c r="D22" s="1" t="s">
        <v>460</v>
      </c>
      <c r="E22" s="1" t="str">
        <f>_xlfn.XLOOKUP(F22,UTIL!Q:Q,UTIL!N:N,"-")</f>
        <v>061196032</v>
      </c>
      <c r="F22" s="15" t="s">
        <v>461</v>
      </c>
      <c r="G22" s="14">
        <v>200</v>
      </c>
      <c r="H22" s="4" t="s">
        <v>424</v>
      </c>
      <c r="I22" s="15">
        <v>48</v>
      </c>
      <c r="J22" s="16">
        <v>45966</v>
      </c>
      <c r="K22" s="79"/>
      <c r="L22" s="15" t="str">
        <f>TEXT($C22,"dd.mm") &amp; " -Ped " &amp; D22 &amp; " -" &amp; F22 &amp; " -R$" &amp; G22 &amp; IF(LEN(TRIM(I22))=0, "", " -NF " &amp; TRIM(I22))</f>
        <v>03.11 -Ped 047258 -ANDREIA R. COURIER   -R$200 -NF 48</v>
      </c>
    </row>
    <row r="23" spans="1:12">
      <c r="A23" s="4" t="s">
        <v>447</v>
      </c>
      <c r="B23" s="1" t="s">
        <v>146</v>
      </c>
      <c r="C23" s="16">
        <v>45964</v>
      </c>
      <c r="D23" s="1" t="s">
        <v>462</v>
      </c>
      <c r="E23" s="1" t="str">
        <f>_xlfn.XLOOKUP(F23,UTIL!Q:Q,UTIL!N:N,"-")</f>
        <v>061196032</v>
      </c>
      <c r="F23" s="15" t="s">
        <v>461</v>
      </c>
      <c r="G23" s="14">
        <v>200</v>
      </c>
      <c r="H23" s="4" t="s">
        <v>424</v>
      </c>
      <c r="I23" s="15" t="s">
        <v>463</v>
      </c>
      <c r="J23" s="16">
        <v>45972</v>
      </c>
      <c r="K23" s="79"/>
      <c r="L23" s="15" t="str">
        <f>TEXT($C23,"dd.mm") &amp; " -Ped " &amp; D23 &amp; " -" &amp; F23 &amp; " -R$" &amp; G23 &amp; IF(LEN(TRIM(I23))=0, "", " -NF " &amp; TRIM(I23))</f>
        <v>03.11 -Ped 047267 -ANDREIA R. COURIER   -R$200 -NF FIN</v>
      </c>
    </row>
    <row r="24" spans="1:12">
      <c r="A24" s="4" t="s">
        <v>447</v>
      </c>
      <c r="B24" s="1" t="s">
        <v>142</v>
      </c>
      <c r="C24" s="16">
        <v>45966</v>
      </c>
      <c r="D24" s="1" t="s">
        <v>462</v>
      </c>
      <c r="E24" s="1" t="str">
        <f>_xlfn.XLOOKUP(F24,UTIL!Q:Q,UTIL!N:N,"-")</f>
        <v>051496564</v>
      </c>
      <c r="F24" s="15" t="s">
        <v>464</v>
      </c>
      <c r="G24" s="14">
        <v>520</v>
      </c>
      <c r="H24" s="4" t="s">
        <v>424</v>
      </c>
      <c r="I24" s="15">
        <v>408</v>
      </c>
      <c r="J24" s="16">
        <v>45967</v>
      </c>
      <c r="K24" s="79" t="s">
        <v>465</v>
      </c>
      <c r="L24" s="15" t="str">
        <f>TEXT($C24,"dd.mm") &amp; " -Ped " &amp; D24 &amp; " -" &amp; F24 &amp; " -R$" &amp; G24 &amp; IF(LEN(TRIM(I24))=0, "", " -NF " &amp; TRIM(I24))</f>
        <v>05.11 -Ped 047267 -MARCOS D COURIER -R$520 -NF 408</v>
      </c>
    </row>
    <row r="25" spans="1:12">
      <c r="A25" s="4" t="s">
        <v>447</v>
      </c>
      <c r="B25" s="1" t="s">
        <v>444</v>
      </c>
      <c r="C25" s="16">
        <v>45966</v>
      </c>
      <c r="D25" s="1" t="s">
        <v>466</v>
      </c>
      <c r="E25" s="1" t="str">
        <f>_xlfn.XLOOKUP(F25,UTIL!Q:Q,UTIL!N:N,"-")</f>
        <v>051496564</v>
      </c>
      <c r="F25" s="15" t="s">
        <v>464</v>
      </c>
      <c r="G25" s="14">
        <v>180</v>
      </c>
      <c r="H25" s="4" t="s">
        <v>424</v>
      </c>
      <c r="I25" s="15">
        <v>409</v>
      </c>
      <c r="J25" s="16">
        <v>45967</v>
      </c>
      <c r="K25" s="79" t="s">
        <v>467</v>
      </c>
      <c r="L25" s="15" t="str">
        <f>TEXT($C25,"dd.mm") &amp; " -Ped " &amp; D25 &amp; " -" &amp; F25 &amp; " -R$" &amp; G25 &amp; IF(LEN(TRIM(I25))=0, "", " -NF " &amp; TRIM(I25))</f>
        <v>05.11 -Ped 047268 -MARCOS D COURIER -R$180 -NF 409</v>
      </c>
    </row>
    <row r="26" spans="1:12">
      <c r="A26" s="4" t="s">
        <v>468</v>
      </c>
      <c r="B26" s="1" t="s">
        <v>148</v>
      </c>
      <c r="C26" s="16">
        <v>45965</v>
      </c>
      <c r="D26" s="1" t="s">
        <v>469</v>
      </c>
      <c r="E26" s="1" t="str">
        <f>_xlfn.XLOOKUP(F26,UTIL!Q:Q,UTIL!N:N,"-")</f>
        <v>032878844</v>
      </c>
      <c r="F26" s="15" t="s">
        <v>470</v>
      </c>
      <c r="G26" s="14">
        <v>910</v>
      </c>
      <c r="H26" s="4" t="s">
        <v>424</v>
      </c>
      <c r="I26" s="15">
        <v>177</v>
      </c>
      <c r="J26" s="16">
        <v>45967</v>
      </c>
      <c r="K26" s="79" t="s">
        <v>471</v>
      </c>
      <c r="L26" s="15" t="str">
        <f>TEXT($C26,"dd.mm") &amp; " -Ped " &amp; D26 &amp; " -" &amp; F26 &amp; " -R$" &amp; G26 &amp; IF(LEN(TRIM(I26))=0, "", " -NF " &amp; TRIM(I26))</f>
        <v>04.11 -Ped 047269 -STOSKI TRANSPORTES -R$910 -NF 177</v>
      </c>
    </row>
    <row r="27" spans="1:12">
      <c r="A27" s="4" t="s">
        <v>468</v>
      </c>
      <c r="B27" s="1" t="s">
        <v>144</v>
      </c>
      <c r="C27" s="16">
        <v>45965</v>
      </c>
      <c r="D27" s="1" t="s">
        <v>472</v>
      </c>
      <c r="E27" s="1" t="str">
        <f>_xlfn.XLOOKUP(F27,UTIL!Q:Q,UTIL!N:N,"-")</f>
        <v>006914002</v>
      </c>
      <c r="F27" s="15" t="s">
        <v>473</v>
      </c>
      <c r="G27" s="14">
        <v>1295</v>
      </c>
      <c r="H27" s="4" t="s">
        <v>424</v>
      </c>
      <c r="I27" s="15">
        <v>186</v>
      </c>
      <c r="J27" s="16">
        <v>45968</v>
      </c>
      <c r="K27" s="79" t="s">
        <v>474</v>
      </c>
      <c r="L27" s="15" t="str">
        <f>TEXT($C27,"dd.mm") &amp; " -Ped " &amp; D27 &amp; " -" &amp; F27 &amp; " -R$" &amp; G27 &amp; IF(LEN(TRIM(I27))=0, "", " -NF " &amp; TRIM(I27))</f>
        <v>04.11 -Ped 047315 -TRANSCAPITINGA  FRET -R$1295 -NF 186</v>
      </c>
    </row>
    <row r="28" spans="1:12">
      <c r="A28" s="4" t="s">
        <v>468</v>
      </c>
      <c r="B28" s="1" t="s">
        <v>144</v>
      </c>
      <c r="C28" s="16">
        <v>45966</v>
      </c>
      <c r="D28" s="1" t="s">
        <v>472</v>
      </c>
      <c r="E28" s="1" t="str">
        <f>_xlfn.XLOOKUP(F28,UTIL!Q:Q,UTIL!N:N,"-")</f>
        <v>006914002</v>
      </c>
      <c r="F28" s="15" t="s">
        <v>473</v>
      </c>
      <c r="G28" s="14">
        <v>975</v>
      </c>
      <c r="H28" s="4" t="s">
        <v>424</v>
      </c>
      <c r="I28" s="15">
        <v>186</v>
      </c>
      <c r="J28" s="16">
        <v>45968</v>
      </c>
      <c r="K28" s="79" t="s">
        <v>475</v>
      </c>
      <c r="L28" s="15" t="str">
        <f>TEXT($C28,"dd.mm") &amp; " -Ped " &amp; D28 &amp; " -" &amp; F28 &amp; " -R$" &amp; G28 &amp; IF(LEN(TRIM(I28))=0, "", " -NF " &amp; TRIM(I28))</f>
        <v>05.11 -Ped 047315 -TRANSCAPITINGA  FRET -R$975 -NF 186</v>
      </c>
    </row>
    <row r="29" spans="1:12">
      <c r="A29" s="4" t="s">
        <v>476</v>
      </c>
      <c r="B29" s="1" t="s">
        <v>144</v>
      </c>
      <c r="C29" s="16">
        <v>45962</v>
      </c>
      <c r="D29" s="80" t="s">
        <v>472</v>
      </c>
      <c r="E29" s="1" t="str">
        <f>_xlfn.XLOOKUP(F29,UTIL!Q:Q,UTIL!N:N,"-")</f>
        <v>006914002</v>
      </c>
      <c r="F29" s="15" t="s">
        <v>473</v>
      </c>
      <c r="G29" s="14">
        <v>1000</v>
      </c>
      <c r="H29" s="4" t="s">
        <v>424</v>
      </c>
      <c r="K29" s="79" t="s">
        <v>477</v>
      </c>
      <c r="L29" s="15" t="str">
        <f>TEXT($C29,"dd.mm") &amp; " -Ped " &amp; D29 &amp; " -" &amp; F29 &amp; " -R$" &amp; G29 &amp; IF(LEN(TRIM(I29))=0, "", " -NF " &amp; TRIM(I29))</f>
        <v>01.11 -Ped 047315 -TRANSCAPITINGA  FRET -R$1000</v>
      </c>
    </row>
    <row r="30" spans="1:12">
      <c r="A30" s="4" t="s">
        <v>447</v>
      </c>
      <c r="B30" s="1" t="s">
        <v>148</v>
      </c>
      <c r="C30" s="16">
        <v>45966</v>
      </c>
      <c r="D30" s="80" t="s">
        <v>478</v>
      </c>
      <c r="E30" s="1" t="str">
        <f>_xlfn.XLOOKUP(F30,UTIL!Q:Q,UTIL!N:N,"-")</f>
        <v>031370636</v>
      </c>
      <c r="F30" s="15" t="s">
        <v>479</v>
      </c>
      <c r="G30" s="14">
        <v>180</v>
      </c>
      <c r="H30" s="4" t="s">
        <v>424</v>
      </c>
      <c r="K30" s="79" t="s">
        <v>480</v>
      </c>
      <c r="L30" s="15" t="str">
        <f>TEXT($C30,"dd.mm") &amp; " -Ped " &amp; D30 &amp; " -" &amp; F30 &amp; " -R$" &amp; G30 &amp; IF(LEN(TRIM(I30))=0, "", " -NF " &amp; TRIM(I30))</f>
        <v>05.11 -Ped 047328 -JORGE LUIZ 2 COURIER -R$180</v>
      </c>
    </row>
    <row r="31" spans="1:12">
      <c r="A31" s="4" t="s">
        <v>447</v>
      </c>
      <c r="B31" s="1" t="s">
        <v>421</v>
      </c>
      <c r="C31" s="16">
        <v>45966</v>
      </c>
      <c r="D31" s="1" t="s">
        <v>481</v>
      </c>
      <c r="E31" s="1" t="str">
        <f>_xlfn.XLOOKUP(F31,UTIL!Q:Q,UTIL!N:N,"-")</f>
        <v>080227796</v>
      </c>
      <c r="F31" s="15" t="s">
        <v>482</v>
      </c>
      <c r="G31" s="14">
        <v>529.48</v>
      </c>
      <c r="H31" s="4" t="s">
        <v>424</v>
      </c>
      <c r="I31" s="15">
        <v>348407</v>
      </c>
      <c r="J31" s="16">
        <v>45967</v>
      </c>
      <c r="K31" s="79" t="s">
        <v>483</v>
      </c>
      <c r="L31" s="15" t="str">
        <f>TEXT($C31,"dd.mm") &amp; " -Ped " &amp; D31 &amp; " -" &amp; F31 &amp; " -R$" &amp; G31 &amp; IF(LEN(TRIM(I31))=0, "", " -NF " &amp; TRIM(I31))</f>
        <v>05.11 -Ped 047348 -PRINCESA DOS CAMPOS -R$529,48 -NF 348407</v>
      </c>
    </row>
    <row r="32" spans="1:12">
      <c r="A32" s="4" t="s">
        <v>447</v>
      </c>
      <c r="B32" s="1" t="s">
        <v>421</v>
      </c>
      <c r="C32" s="16">
        <v>45966</v>
      </c>
      <c r="D32" s="1" t="s">
        <v>481</v>
      </c>
      <c r="E32" s="1" t="str">
        <f>_xlfn.XLOOKUP(F32,UTIL!Q:Q,UTIL!N:N,"-")</f>
        <v>080227796</v>
      </c>
      <c r="F32" s="15" t="s">
        <v>482</v>
      </c>
      <c r="G32" s="14">
        <v>371.14</v>
      </c>
      <c r="H32" s="4" t="s">
        <v>424</v>
      </c>
      <c r="I32" s="15">
        <v>336939</v>
      </c>
      <c r="J32" s="16">
        <v>45967</v>
      </c>
      <c r="K32" s="79" t="s">
        <v>483</v>
      </c>
      <c r="L32" s="15" t="str">
        <f>TEXT($C32,"dd.mm") &amp; " -Ped " &amp; D32 &amp; " -" &amp; F32 &amp; " -R$" &amp; G32 &amp; IF(LEN(TRIM(I32))=0, "", " -NF " &amp; TRIM(I32))</f>
        <v>05.11 -Ped 047348 -PRINCESA DOS CAMPOS -R$371,14 -NF 336939</v>
      </c>
    </row>
    <row r="33" spans="1:12">
      <c r="A33" s="4" t="s">
        <v>447</v>
      </c>
      <c r="B33" s="1" t="s">
        <v>142</v>
      </c>
      <c r="C33" s="16">
        <v>45967</v>
      </c>
      <c r="D33" s="1" t="s">
        <v>484</v>
      </c>
      <c r="E33" s="1" t="str">
        <f>_xlfn.XLOOKUP(F33,UTIL!Q:Q,UTIL!N:N,"-")</f>
        <v>012772524</v>
      </c>
      <c r="F33" s="15" t="s">
        <v>485</v>
      </c>
      <c r="G33" s="14">
        <v>1860</v>
      </c>
      <c r="H33" s="4" t="s">
        <v>424</v>
      </c>
      <c r="I33" s="15">
        <v>3300</v>
      </c>
      <c r="J33" s="16">
        <v>45968</v>
      </c>
      <c r="K33" s="79" t="s">
        <v>486</v>
      </c>
      <c r="L33" s="15" t="str">
        <f>TEXT($C33,"dd.mm") &amp; " -Ped " &amp; D33 &amp; " -" &amp; F33 &amp; " -R$" &amp; G33 &amp; IF(LEN(TRIM(I33))=0, "", " -NF " &amp; TRIM(I33))</f>
        <v>06.11 -Ped 047349 -UNIBOY COURIER -R$1860 -NF 3300</v>
      </c>
    </row>
    <row r="34" spans="1:12">
      <c r="A34" s="4" t="s">
        <v>154</v>
      </c>
      <c r="B34" s="1" t="s">
        <v>421</v>
      </c>
      <c r="C34" s="16">
        <v>45968</v>
      </c>
      <c r="D34" s="1" t="s">
        <v>487</v>
      </c>
      <c r="E34" s="1" t="str">
        <f>_xlfn.XLOOKUP(F34,UTIL!Q:Q,UTIL!N:N,"-")</f>
        <v>010273940</v>
      </c>
      <c r="F34" s="15" t="s">
        <v>488</v>
      </c>
      <c r="G34" s="14">
        <v>2780</v>
      </c>
      <c r="H34" s="4" t="s">
        <v>424</v>
      </c>
      <c r="I34" s="15">
        <v>2708</v>
      </c>
      <c r="J34" s="16">
        <v>45972</v>
      </c>
      <c r="K34" s="79" t="s">
        <v>489</v>
      </c>
      <c r="L34" s="15" t="str">
        <f>TEXT($C34,"dd.mm") &amp; " -Ped " &amp; D34 &amp; " -" &amp; F34 &amp; " -R$" &amp; G34 &amp; IF(LEN(TRIM(I34))=0, "", " -NF " &amp; TRIM(I34))</f>
        <v>07.11 -Ped 047383 -SERIE4 - MT 1 -R$2780 -NF 2708</v>
      </c>
    </row>
    <row r="35" spans="1:12">
      <c r="A35" s="4" t="s">
        <v>154</v>
      </c>
      <c r="B35" s="1" t="s">
        <v>421</v>
      </c>
      <c r="C35" s="16">
        <v>45968</v>
      </c>
      <c r="D35" s="1" t="s">
        <v>487</v>
      </c>
      <c r="E35" s="1" t="str">
        <f>_xlfn.XLOOKUP(F35,UTIL!Q:Q,UTIL!N:N,"-")</f>
        <v>010273940</v>
      </c>
      <c r="F35" s="15" t="s">
        <v>488</v>
      </c>
      <c r="G35" s="14">
        <v>840</v>
      </c>
      <c r="H35" s="4" t="s">
        <v>424</v>
      </c>
      <c r="I35" s="15">
        <v>2374</v>
      </c>
      <c r="J35" s="16">
        <v>45972</v>
      </c>
      <c r="K35" s="79" t="s">
        <v>490</v>
      </c>
      <c r="L35" s="15" t="str">
        <f>TEXT($C35,"dd.mm") &amp; " -Ped " &amp; D35 &amp; " -" &amp; F35 &amp; " -R$" &amp; G35 &amp; IF(LEN(TRIM(I35))=0, "", " -NF " &amp; TRIM(I35))</f>
        <v>07.11 -Ped 047383 -SERIE4 - MT 1 -R$840 -NF 2374</v>
      </c>
    </row>
    <row r="36" spans="1:12">
      <c r="A36" s="4" t="s">
        <v>447</v>
      </c>
      <c r="B36" s="1" t="s">
        <v>146</v>
      </c>
      <c r="C36" s="16">
        <v>45965</v>
      </c>
      <c r="D36" s="1" t="s">
        <v>491</v>
      </c>
      <c r="E36" s="1" t="str">
        <f>_xlfn.XLOOKUP(F36,UTIL!Q:Q,UTIL!N:N,"-")</f>
        <v>061196032</v>
      </c>
      <c r="F36" s="15" t="s">
        <v>461</v>
      </c>
      <c r="G36" s="14">
        <v>80</v>
      </c>
      <c r="H36" s="4" t="s">
        <v>424</v>
      </c>
      <c r="I36" s="15">
        <v>51</v>
      </c>
      <c r="J36" s="16">
        <v>45971</v>
      </c>
      <c r="K36" s="79"/>
      <c r="L36" s="15" t="str">
        <f>TEXT($C36,"dd.mm") &amp; " -Ped " &amp; D36 &amp; " -" &amp; F36 &amp; " -R$" &amp; G36 &amp; IF(LEN(TRIM(I36))=0, "", " -NF " &amp; TRIM(I36))</f>
        <v>04.11 -Ped 047437 -ANDREIA R. COURIER   -R$80 -NF 51</v>
      </c>
    </row>
    <row r="37" spans="1:12">
      <c r="A37" s="4" t="s">
        <v>447</v>
      </c>
      <c r="B37" s="1" t="s">
        <v>444</v>
      </c>
      <c r="C37" s="16">
        <v>45965</v>
      </c>
      <c r="D37" s="80" t="s">
        <v>492</v>
      </c>
      <c r="E37" s="1" t="str">
        <f>_xlfn.XLOOKUP(F37,UTIL!Q:Q,UTIL!N:N,"-")</f>
        <v>051496564</v>
      </c>
      <c r="F37" s="15" t="s">
        <v>464</v>
      </c>
      <c r="G37" s="14">
        <v>400</v>
      </c>
      <c r="H37" s="4" t="s">
        <v>424</v>
      </c>
      <c r="I37" s="15">
        <v>420</v>
      </c>
      <c r="J37" s="16">
        <v>45973</v>
      </c>
      <c r="K37" s="79" t="s">
        <v>493</v>
      </c>
      <c r="L37" s="15" t="str">
        <f>TEXT($C37,"dd.mm") &amp; " -Ped " &amp; D37 &amp; " -" &amp; F37 &amp; " -R$" &amp; G37 &amp; IF(LEN(TRIM(I37))=0, "", " -NF " &amp; TRIM(I37))</f>
        <v>04.11 -Ped 047525 -MARCOS D COURIER -R$400 -NF 420</v>
      </c>
    </row>
    <row r="38" spans="1:12" ht="14.45">
      <c r="A38" s="4" t="s">
        <v>447</v>
      </c>
      <c r="B38" s="1" t="s">
        <v>444</v>
      </c>
      <c r="C38" s="16">
        <v>45971</v>
      </c>
      <c r="D38" s="80" t="s">
        <v>492</v>
      </c>
      <c r="E38" s="1" t="str">
        <f>_xlfn.XLOOKUP(F38,UTIL!Q:Q,UTIL!N:N,"-")</f>
        <v>051496564</v>
      </c>
      <c r="F38" s="15" t="s">
        <v>464</v>
      </c>
      <c r="G38" s="14">
        <v>250</v>
      </c>
      <c r="H38" s="4" t="s">
        <v>424</v>
      </c>
      <c r="I38" s="15">
        <v>420</v>
      </c>
      <c r="J38" s="16">
        <v>45973</v>
      </c>
      <c r="K38" s="79" t="s">
        <v>494</v>
      </c>
      <c r="L38" s="15" t="str">
        <f>TEXT($C38,"dd.mm") &amp; " -Ped " &amp; D38 &amp; " -" &amp; F38 &amp; " -R$" &amp; G38 &amp; IF(LEN(TRIM(I38))=0, "", " -NF " &amp; TRIM(I38))</f>
        <v>10.11 -Ped 047525 -MARCOS D COURIER -R$250 -NF 420</v>
      </c>
    </row>
    <row r="39" spans="1:12">
      <c r="A39" s="4" t="s">
        <v>447</v>
      </c>
      <c r="B39" s="1" t="s">
        <v>444</v>
      </c>
      <c r="C39" s="16">
        <v>45968</v>
      </c>
      <c r="D39" s="80" t="s">
        <v>495</v>
      </c>
      <c r="E39" s="1" t="str">
        <f>_xlfn.XLOOKUP(F39,UTIL!Q:Q,UTIL!N:N,"-")</f>
        <v>051496564</v>
      </c>
      <c r="F39" s="15" t="s">
        <v>464</v>
      </c>
      <c r="G39" s="14">
        <v>420</v>
      </c>
      <c r="H39" s="4" t="s">
        <v>424</v>
      </c>
      <c r="I39" s="15">
        <v>421</v>
      </c>
      <c r="J39" s="16">
        <v>45973</v>
      </c>
      <c r="K39" s="79" t="s">
        <v>496</v>
      </c>
      <c r="L39" s="15" t="str">
        <f>TEXT($C39,"dd.mm") &amp; " -Ped " &amp; D39 &amp; " -" &amp; F39 &amp; " -R$" &amp; G39 &amp; IF(LEN(TRIM(I39))=0, "", " -NF " &amp; TRIM(I39))</f>
        <v>07.11 -Ped 047527 -MARCOS D COURIER -R$420 -NF 421</v>
      </c>
    </row>
    <row r="40" spans="1:12">
      <c r="A40" s="4" t="s">
        <v>447</v>
      </c>
      <c r="B40" s="1" t="s">
        <v>441</v>
      </c>
      <c r="C40" s="16">
        <v>45971</v>
      </c>
      <c r="D40" s="80" t="s">
        <v>497</v>
      </c>
      <c r="E40" s="1" t="str">
        <f>_xlfn.XLOOKUP(F40,UTIL!Q:Q,UTIL!N:N,"-")</f>
        <v>031370636</v>
      </c>
      <c r="F40" s="15" t="s">
        <v>479</v>
      </c>
      <c r="G40" s="14">
        <v>700</v>
      </c>
      <c r="H40" s="4" t="s">
        <v>424</v>
      </c>
      <c r="I40" s="15">
        <v>10</v>
      </c>
      <c r="J40" s="16">
        <v>45973</v>
      </c>
      <c r="K40" s="79"/>
      <c r="L40" s="15" t="str">
        <f>TEXT($C40,"dd.mm") &amp; " -Ped " &amp; D40 &amp; " -" &amp; F40 &amp; " -R$" &amp; G40 &amp; IF(LEN(TRIM(I40))=0, "", " -NF " &amp; TRIM(I40))</f>
        <v>10.11 -Ped 047550 -JORGE LUIZ 2 COURIER -R$700 -NF 10</v>
      </c>
    </row>
    <row r="41" spans="1:12">
      <c r="A41" s="4" t="s">
        <v>468</v>
      </c>
      <c r="B41" s="1" t="s">
        <v>148</v>
      </c>
      <c r="C41" s="16">
        <v>45962</v>
      </c>
      <c r="D41" s="80" t="s">
        <v>498</v>
      </c>
      <c r="E41" s="1" t="str">
        <f>_xlfn.XLOOKUP(F41,UTIL!Q:Q,UTIL!N:N,"-")</f>
        <v>046304055</v>
      </c>
      <c r="F41" s="15" t="s">
        <v>499</v>
      </c>
      <c r="G41" s="14">
        <v>500</v>
      </c>
      <c r="H41" s="4" t="s">
        <v>500</v>
      </c>
      <c r="K41" s="79"/>
      <c r="L41" s="15" t="str">
        <f>TEXT($C41,"dd.mm") &amp; " -Ped " &amp; D41 &amp; " -" &amp; F41 &amp; " -R$" &amp; G41 &amp; IF(LEN(TRIM(I41))=0, "", " -NF " &amp; TRIM(I41))</f>
        <v>01.11 -Ped 047552 -GRICZYNSKI TRANSP -R$500</v>
      </c>
    </row>
    <row r="42" spans="1:12">
      <c r="A42" s="4" t="s">
        <v>468</v>
      </c>
      <c r="B42" s="1" t="s">
        <v>148</v>
      </c>
      <c r="C42" s="16">
        <v>45962</v>
      </c>
      <c r="D42" s="80" t="s">
        <v>498</v>
      </c>
      <c r="E42" s="1" t="str">
        <f>_xlfn.XLOOKUP(F42,UTIL!Q:Q,UTIL!N:N,"-")</f>
        <v>046304055</v>
      </c>
      <c r="F42" s="15" t="s">
        <v>499</v>
      </c>
      <c r="G42" s="14">
        <v>300</v>
      </c>
      <c r="H42" s="4" t="s">
        <v>500</v>
      </c>
      <c r="K42" s="79"/>
      <c r="L42" s="15" t="str">
        <f>TEXT($C42,"dd.mm") &amp; " -Ped " &amp; D42 &amp; " -" &amp; F42 &amp; " -R$" &amp; G42 &amp; IF(LEN(TRIM(I42))=0, "", " -NF " &amp; TRIM(I42))</f>
        <v>01.11 -Ped 047552 -GRICZYNSKI TRANSP -R$300</v>
      </c>
    </row>
    <row r="43" spans="1:12">
      <c r="A43" s="4" t="s">
        <v>468</v>
      </c>
      <c r="B43" s="1" t="s">
        <v>148</v>
      </c>
      <c r="C43" s="16">
        <v>45962</v>
      </c>
      <c r="D43" s="80" t="s">
        <v>498</v>
      </c>
      <c r="E43" s="1" t="str">
        <f>_xlfn.XLOOKUP(F43,UTIL!Q:Q,UTIL!N:N,"-")</f>
        <v>046304055</v>
      </c>
      <c r="F43" s="15" t="s">
        <v>499</v>
      </c>
      <c r="G43" s="14">
        <v>300</v>
      </c>
      <c r="H43" s="4" t="s">
        <v>500</v>
      </c>
      <c r="K43" s="79"/>
      <c r="L43" s="15" t="str">
        <f>TEXT($C43,"dd.mm") &amp; " -Ped " &amp; D43 &amp; " -" &amp; F43 &amp; " -R$" &amp; G43 &amp; IF(LEN(TRIM(I43))=0, "", " -NF " &amp; TRIM(I43))</f>
        <v>01.11 -Ped 047552 -GRICZYNSKI TRANSP -R$300</v>
      </c>
    </row>
    <row r="44" spans="1:12">
      <c r="A44" s="4" t="s">
        <v>154</v>
      </c>
      <c r="B44" s="1" t="s">
        <v>421</v>
      </c>
      <c r="C44" s="16">
        <v>45967</v>
      </c>
      <c r="D44" s="80" t="s">
        <v>501</v>
      </c>
      <c r="E44" s="1" t="str">
        <f>_xlfn.XLOOKUP(F44,UTIL!Q:Q,UTIL!N:N,"-")</f>
        <v>050435638</v>
      </c>
      <c r="F44" s="15" t="s">
        <v>502</v>
      </c>
      <c r="G44" s="14">
        <v>500</v>
      </c>
      <c r="H44" s="4" t="s">
        <v>424</v>
      </c>
      <c r="I44" s="15">
        <v>1412</v>
      </c>
      <c r="J44" s="16">
        <v>45973</v>
      </c>
      <c r="K44" s="79" t="s">
        <v>503</v>
      </c>
      <c r="L44" s="15" t="str">
        <f>TEXT($C44,"dd.mm") &amp; " -Ped " &amp; D44 &amp; " -" &amp; F44 &amp; " -R$" &amp; G44 &amp; IF(LEN(TRIM(I44))=0, "", " -NF " &amp; TRIM(I44))</f>
        <v>06.11 -Ped 047553 -ANDREANI - MT -R$500 -NF 1412</v>
      </c>
    </row>
    <row r="45" spans="1:12">
      <c r="A45" s="4" t="s">
        <v>154</v>
      </c>
      <c r="B45" s="1" t="s">
        <v>421</v>
      </c>
      <c r="C45" s="16">
        <v>45967</v>
      </c>
      <c r="D45" s="80" t="s">
        <v>501</v>
      </c>
      <c r="E45" s="1" t="str">
        <f>_xlfn.XLOOKUP(F45,UTIL!Q:Q,UTIL!N:N,"-")</f>
        <v>050435638</v>
      </c>
      <c r="F45" s="15" t="s">
        <v>502</v>
      </c>
      <c r="G45" s="14">
        <v>397</v>
      </c>
      <c r="H45" s="4" t="s">
        <v>424</v>
      </c>
      <c r="I45" s="15">
        <v>189</v>
      </c>
      <c r="J45" s="16">
        <v>45973</v>
      </c>
      <c r="K45" s="79" t="s">
        <v>504</v>
      </c>
      <c r="L45" s="15" t="str">
        <f>TEXT($C45,"dd.mm") &amp; " -Ped " &amp; D45 &amp; " -" &amp; F45 &amp; " -R$" &amp; G45 &amp; IF(LEN(TRIM(I45))=0, "", " -NF " &amp; TRIM(I45))</f>
        <v>06.11 -Ped 047553 -ANDREANI - MT -R$397 -NF 189</v>
      </c>
    </row>
    <row r="46" spans="1:12">
      <c r="A46" s="4" t="s">
        <v>468</v>
      </c>
      <c r="B46" s="1" t="s">
        <v>144</v>
      </c>
      <c r="C46" s="16">
        <v>45974</v>
      </c>
      <c r="D46" s="80" t="s">
        <v>505</v>
      </c>
      <c r="E46" s="1" t="str">
        <f>_xlfn.XLOOKUP(F46,UTIL!Q:Q,UTIL!N:N,"-")</f>
        <v>019320206</v>
      </c>
      <c r="F46" s="15" t="s">
        <v>506</v>
      </c>
      <c r="G46" s="14">
        <v>1000</v>
      </c>
      <c r="H46" s="4" t="s">
        <v>500</v>
      </c>
      <c r="K46" s="79" t="s">
        <v>507</v>
      </c>
      <c r="L46" s="15" t="str">
        <f>TEXT($C46,"dd.mm") &amp; " -Ped " &amp; D46 &amp; " -" &amp; F46 &amp; " -R$" &amp; G46 &amp; IF(LEN(TRIM(I46))=0, "", " -NF " &amp; TRIM(I46))</f>
        <v>13.11 -Ped 047572 -AGROMAQ TRANSPORTES -R$1000</v>
      </c>
    </row>
    <row r="47" spans="1:12">
      <c r="A47" s="4" t="s">
        <v>476</v>
      </c>
      <c r="B47" s="1" t="s">
        <v>148</v>
      </c>
      <c r="C47" s="16">
        <v>45972</v>
      </c>
      <c r="D47" s="80" t="s">
        <v>508</v>
      </c>
      <c r="E47" s="1" t="str">
        <f>_xlfn.XLOOKUP(F47,UTIL!Q:Q,UTIL!N:N,"-")</f>
        <v>030877442</v>
      </c>
      <c r="F47" s="15" t="s">
        <v>509</v>
      </c>
      <c r="G47" s="14">
        <v>1262</v>
      </c>
      <c r="H47" s="4" t="s">
        <v>500</v>
      </c>
      <c r="K47" s="79" t="s">
        <v>510</v>
      </c>
      <c r="L47" s="15" t="str">
        <f>TEXT($C47,"dd.mm") &amp; " -Ped " &amp; D47 &amp; " -" &amp; F47 &amp; " -R$" &amp; G47 &amp; IF(LEN(TRIM(I47))=0, "", " -NF " &amp; TRIM(I47))</f>
        <v>11.11 -Ped 047573 -MUNCK IRATI TRANSP -R$1262</v>
      </c>
    </row>
    <row r="48" spans="1:12">
      <c r="A48" s="4" t="s">
        <v>447</v>
      </c>
      <c r="B48" s="1" t="s">
        <v>142</v>
      </c>
      <c r="C48" s="16">
        <v>45972</v>
      </c>
      <c r="D48" s="80" t="s">
        <v>511</v>
      </c>
      <c r="E48" s="1" t="str">
        <f>_xlfn.XLOOKUP(F48,UTIL!Q:Q,UTIL!N:N,"-")</f>
        <v>059376166</v>
      </c>
      <c r="F48" s="15" t="s">
        <v>512</v>
      </c>
      <c r="G48" s="14">
        <v>2390</v>
      </c>
      <c r="H48" s="4" t="s">
        <v>500</v>
      </c>
      <c r="I48" s="15">
        <v>155</v>
      </c>
      <c r="J48" s="16">
        <v>45974</v>
      </c>
      <c r="K48" s="79" t="s">
        <v>486</v>
      </c>
      <c r="L48" s="15" t="str">
        <f>TEXT($C48,"dd.mm") &amp; " -Ped " &amp; D48 &amp; " -" &amp; F48 &amp; " -R$" &amp; G48 &amp; IF(LEN(TRIM(I48))=0, "", " -NF " &amp; TRIM(I48))</f>
        <v>11.11 -Ped 047685 -JOSEAMILTON1 COURIER -R$2390 -NF 155</v>
      </c>
    </row>
    <row r="49" spans="1:12" ht="15" customHeight="1">
      <c r="A49" s="4" t="s">
        <v>447</v>
      </c>
      <c r="B49" s="1" t="s">
        <v>146</v>
      </c>
      <c r="C49" s="16">
        <v>45973</v>
      </c>
      <c r="D49" s="80" t="s">
        <v>513</v>
      </c>
      <c r="E49" s="1">
        <v>61196032</v>
      </c>
      <c r="F49" s="15" t="s">
        <v>461</v>
      </c>
      <c r="G49" s="14">
        <v>70</v>
      </c>
      <c r="H49" s="4" t="s">
        <v>424</v>
      </c>
      <c r="I49" s="15">
        <v>54</v>
      </c>
      <c r="J49" s="16">
        <v>45975</v>
      </c>
      <c r="K49" s="79" t="s">
        <v>486</v>
      </c>
      <c r="L49" s="15" t="str">
        <f>TEXT($C49,"dd.mm") &amp; " -Ped " &amp; D49 &amp; " -" &amp; F49 &amp; " -R$" &amp; G49 &amp; IF(LEN(TRIM(I49))=0, "", " -NF " &amp; TRIM(I49))</f>
        <v>12.11 -Ped 047687 -ANDREIA R. COURIER   -R$70 -NF 54</v>
      </c>
    </row>
    <row r="50" spans="1:12" ht="15" customHeight="1">
      <c r="A50" s="4" t="s">
        <v>155</v>
      </c>
      <c r="B50" s="1" t="s">
        <v>421</v>
      </c>
      <c r="C50" s="16">
        <v>45975</v>
      </c>
      <c r="D50" s="80" t="s">
        <v>514</v>
      </c>
      <c r="E50" s="1" t="str">
        <f>_xlfn.XLOOKUP(F50,UTIL!Q:Q,UTIL!N:N,"-")</f>
        <v>024586837</v>
      </c>
      <c r="F50" s="15" t="s">
        <v>515</v>
      </c>
      <c r="G50" s="14">
        <v>4175</v>
      </c>
      <c r="H50" s="4" t="s">
        <v>500</v>
      </c>
      <c r="K50" s="79" t="s">
        <v>516</v>
      </c>
      <c r="L50" s="15" t="str">
        <f>TEXT($C50,"dd.mm") &amp; " -Ped " &amp; D50 &amp; " -" &amp; F50 &amp; " -R$" &amp; G50 &amp; IF(LEN(TRIM(I50))=0, "", " -NF " &amp; TRIM(I50))</f>
        <v>14.11 -Ped 047732 -SUL LONAS - MT -R$4175</v>
      </c>
    </row>
    <row r="51" spans="1:12" ht="15" customHeight="1">
      <c r="A51" s="4" t="s">
        <v>154</v>
      </c>
      <c r="B51" s="1" t="s">
        <v>421</v>
      </c>
      <c r="C51" s="16">
        <v>45975</v>
      </c>
      <c r="D51" s="80" t="s">
        <v>517</v>
      </c>
      <c r="E51" s="1" t="str">
        <f>_xlfn.XLOOKUP(F51,UTIL!Q:Q,UTIL!N:N,"-")</f>
        <v>037969440</v>
      </c>
      <c r="F51" s="15" t="s">
        <v>518</v>
      </c>
      <c r="G51" s="14">
        <v>800.04</v>
      </c>
      <c r="H51" s="4" t="s">
        <v>500</v>
      </c>
      <c r="K51" s="79" t="s">
        <v>519</v>
      </c>
      <c r="L51" s="15" t="str">
        <f>TEXT($C51,"dd.mm") &amp; " -Ped " &amp; D51 &amp; " -" &amp; F51 &amp; " -R$" &amp; G51 &amp; IF(LEN(TRIM(I51))=0, "", " -NF " &amp; TRIM(I51))</f>
        <v>14.11 -Ped 047733 -MEGA TRUCK ACESSORIOS - MT -R$800,04</v>
      </c>
    </row>
    <row r="52" spans="1:12" ht="15" customHeight="1">
      <c r="A52" s="4" t="s">
        <v>476</v>
      </c>
      <c r="B52" s="1" t="s">
        <v>144</v>
      </c>
      <c r="C52" s="16">
        <v>45975</v>
      </c>
      <c r="D52" s="80" t="s">
        <v>520</v>
      </c>
      <c r="E52" s="1" t="str">
        <f>_xlfn.XLOOKUP(F52,UTIL!Q:Q,UTIL!N:N,"-")</f>
        <v>006914002</v>
      </c>
      <c r="F52" s="15" t="s">
        <v>473</v>
      </c>
      <c r="G52" s="14">
        <v>800</v>
      </c>
      <c r="H52" s="4" t="s">
        <v>500</v>
      </c>
      <c r="I52" s="15">
        <v>190</v>
      </c>
      <c r="J52" s="16">
        <v>45975</v>
      </c>
      <c r="K52" s="79" t="s">
        <v>521</v>
      </c>
      <c r="L52" s="15" t="str">
        <f>TEXT($C52,"dd.mm") &amp; " -Ped " &amp; D52 &amp; " -" &amp; F52 &amp; " -R$" &amp; G52 &amp; IF(LEN(TRIM(I52))=0, "", " -NF " &amp; TRIM(I52))</f>
        <v>14.11 -Ped 047738 -TRANSCAPITINGA  FRET -R$800 -NF 190</v>
      </c>
    </row>
    <row r="53" spans="1:12" ht="15" customHeight="1">
      <c r="A53" s="4" t="s">
        <v>435</v>
      </c>
      <c r="B53" s="1" t="s">
        <v>421</v>
      </c>
      <c r="C53" s="16">
        <v>45968</v>
      </c>
      <c r="D53" s="80" t="s">
        <v>522</v>
      </c>
      <c r="E53" s="1" t="str">
        <f>_xlfn.XLOOKUP(F53,UTIL!Q:Q,UTIL!N:N,"-")</f>
        <v>080227796</v>
      </c>
      <c r="F53" s="15" t="s">
        <v>482</v>
      </c>
      <c r="G53" s="14">
        <v>345.91</v>
      </c>
      <c r="H53" s="4" t="s">
        <v>500</v>
      </c>
      <c r="I53" s="15">
        <v>352387</v>
      </c>
      <c r="J53" s="16">
        <v>45975</v>
      </c>
      <c r="K53" s="79" t="s">
        <v>523</v>
      </c>
      <c r="L53" s="15" t="str">
        <f>TEXT($C53,"dd.mm") &amp; " -Ped " &amp; D53 &amp; " -" &amp; F53 &amp; " -R$" &amp; G53 &amp; IF(LEN(TRIM(I53))=0, "", " -NF " &amp; TRIM(I53))</f>
        <v>07.11 -Ped 047750 -PRINCESA DOS CAMPOS -R$345,91 -NF 352387</v>
      </c>
    </row>
    <row r="54" spans="1:12" ht="15" customHeight="1">
      <c r="A54" s="4" t="s">
        <v>435</v>
      </c>
      <c r="B54" s="1" t="s">
        <v>421</v>
      </c>
      <c r="C54" s="16">
        <v>45968</v>
      </c>
      <c r="D54" s="80" t="s">
        <v>522</v>
      </c>
      <c r="E54" s="1" t="str">
        <f>_xlfn.XLOOKUP(F54,UTIL!Q:Q,UTIL!N:N,"-")</f>
        <v>080227796</v>
      </c>
      <c r="F54" s="15" t="s">
        <v>482</v>
      </c>
      <c r="G54" s="14">
        <v>49.74</v>
      </c>
      <c r="H54" s="4" t="s">
        <v>500</v>
      </c>
      <c r="I54" s="15">
        <v>352389</v>
      </c>
      <c r="J54" s="16">
        <v>45975</v>
      </c>
      <c r="K54" s="79" t="s">
        <v>524</v>
      </c>
      <c r="L54" s="15" t="str">
        <f>TEXT($C54,"dd.mm") &amp; " -Ped " &amp; D54 &amp; " -" &amp; F54 &amp; " -R$" &amp; G54 &amp; IF(LEN(TRIM(I54))=0, "", " -NF " &amp; TRIM(I54))</f>
        <v>07.11 -Ped 047750 -PRINCESA DOS CAMPOS -R$49,74 -NF 352389</v>
      </c>
    </row>
    <row r="55" spans="1:12" ht="15" customHeight="1">
      <c r="A55" s="4" t="s">
        <v>435</v>
      </c>
      <c r="B55" s="1" t="s">
        <v>421</v>
      </c>
      <c r="C55" s="16">
        <v>45968</v>
      </c>
      <c r="D55" s="80" t="s">
        <v>522</v>
      </c>
      <c r="E55" s="1" t="str">
        <f>_xlfn.XLOOKUP(F55,UTIL!Q:Q,UTIL!N:N,"-")</f>
        <v>080227796</v>
      </c>
      <c r="F55" s="15" t="s">
        <v>482</v>
      </c>
      <c r="G55" s="14">
        <v>46.32</v>
      </c>
      <c r="H55" s="4" t="s">
        <v>500</v>
      </c>
      <c r="I55" s="15">
        <v>355838</v>
      </c>
      <c r="J55" s="16">
        <v>45975</v>
      </c>
      <c r="K55" s="79" t="s">
        <v>524</v>
      </c>
      <c r="L55" s="15" t="str">
        <f>TEXT($C55,"dd.mm") &amp; " -Ped " &amp; D55 &amp; " -" &amp; F55 &amp; " -R$" &amp; G55 &amp; IF(LEN(TRIM(I55))=0, "", " -NF " &amp; TRIM(I55))</f>
        <v>07.11 -Ped 047750 -PRINCESA DOS CAMPOS -R$46,32 -NF 355838</v>
      </c>
    </row>
    <row r="56" spans="1:12" ht="15" customHeight="1">
      <c r="A56" s="4" t="s">
        <v>525</v>
      </c>
      <c r="B56" s="1" t="s">
        <v>144</v>
      </c>
      <c r="C56" s="16">
        <v>45975</v>
      </c>
      <c r="D56" s="80" t="s">
        <v>526</v>
      </c>
      <c r="E56" s="1" t="str">
        <f>_xlfn.XLOOKUP(F56,UTIL!Q:Q,UTIL!N:N,"-")</f>
        <v>019320206</v>
      </c>
      <c r="F56" s="15" t="s">
        <v>506</v>
      </c>
      <c r="G56" s="14">
        <v>300</v>
      </c>
      <c r="H56" s="4" t="s">
        <v>500</v>
      </c>
      <c r="K56" s="79"/>
      <c r="L56" s="15" t="str">
        <f>TEXT($C56,"dd.mm") &amp; " -Ped " &amp; D56 &amp; " -" &amp; F56 &amp; " -R$" &amp; G56 &amp; IF(LEN(TRIM(I56))=0, "", " -NF " &amp; TRIM(I56))</f>
        <v>14.11 -Ped 047752 -AGROMAQ TRANSPORTES -R$300</v>
      </c>
    </row>
    <row r="57" spans="1:12" ht="15" customHeight="1">
      <c r="A57" s="4" t="s">
        <v>525</v>
      </c>
      <c r="B57" s="1" t="s">
        <v>144</v>
      </c>
      <c r="C57" s="16">
        <v>45975</v>
      </c>
      <c r="D57" s="80" t="s">
        <v>526</v>
      </c>
      <c r="E57" s="1" t="str">
        <f>_xlfn.XLOOKUP(F57,UTIL!Q:Q,UTIL!N:N,"-")</f>
        <v>019320206</v>
      </c>
      <c r="F57" s="15" t="s">
        <v>506</v>
      </c>
      <c r="G57" s="14">
        <v>300</v>
      </c>
      <c r="H57" s="4" t="s">
        <v>500</v>
      </c>
      <c r="K57" s="79"/>
      <c r="L57" s="15" t="str">
        <f>TEXT($C57,"dd.mm") &amp; " -Ped " &amp; D57 &amp; " -" &amp; F57 &amp; " -R$" &amp; G57 &amp; IF(LEN(TRIM(I57))=0, "", " -NF " &amp; TRIM(I57))</f>
        <v>14.11 -Ped 047752 -AGROMAQ TRANSPORTES -R$300</v>
      </c>
    </row>
    <row r="58" spans="1:12" ht="15" customHeight="1">
      <c r="A58" s="4" t="s">
        <v>527</v>
      </c>
      <c r="B58" s="1" t="s">
        <v>144</v>
      </c>
      <c r="C58" s="16">
        <v>45975</v>
      </c>
      <c r="D58" s="80" t="s">
        <v>526</v>
      </c>
      <c r="E58" s="1" t="str">
        <f>_xlfn.XLOOKUP(F58,UTIL!Q:Q,UTIL!N:N,"-")</f>
        <v>019320206</v>
      </c>
      <c r="F58" s="15" t="s">
        <v>506</v>
      </c>
      <c r="G58" s="14">
        <v>800</v>
      </c>
      <c r="H58" s="4" t="s">
        <v>500</v>
      </c>
      <c r="K58" s="79"/>
      <c r="L58" s="15" t="str">
        <f>TEXT($C58,"dd.mm") &amp; " -Ped " &amp; D58 &amp; " -" &amp; F58 &amp; " -R$" &amp; G58 &amp; IF(LEN(TRIM(I58))=0, "", " -NF " &amp; TRIM(I58))</f>
        <v>14.11 -Ped 047752 -AGROMAQ TRANSPORTES -R$800</v>
      </c>
    </row>
    <row r="59" spans="1:12" ht="15" customHeight="1">
      <c r="A59" s="4" t="s">
        <v>527</v>
      </c>
      <c r="B59" s="1" t="s">
        <v>144</v>
      </c>
      <c r="C59" s="16">
        <v>45975</v>
      </c>
      <c r="D59" s="80" t="s">
        <v>526</v>
      </c>
      <c r="E59" s="1" t="str">
        <f>_xlfn.XLOOKUP(F59,UTIL!Q:Q,UTIL!N:N,"-")</f>
        <v>019320206</v>
      </c>
      <c r="F59" s="15" t="s">
        <v>506</v>
      </c>
      <c r="G59" s="14">
        <v>800</v>
      </c>
      <c r="H59" s="4" t="s">
        <v>500</v>
      </c>
      <c r="K59" s="79"/>
      <c r="L59" s="15" t="str">
        <f>TEXT($C59,"dd.mm") &amp; " -Ped " &amp; D59 &amp; " -" &amp; F59 &amp; " -R$" &amp; G59 &amp; IF(LEN(TRIM(I59))=0, "", " -NF " &amp; TRIM(I59))</f>
        <v>14.11 -Ped 047752 -AGROMAQ TRANSPORTES -R$800</v>
      </c>
    </row>
    <row r="60" spans="1:12" ht="15" customHeight="1">
      <c r="A60" s="4" t="s">
        <v>528</v>
      </c>
      <c r="B60" s="1" t="s">
        <v>144</v>
      </c>
      <c r="C60" s="16">
        <v>45975</v>
      </c>
      <c r="D60" s="80" t="s">
        <v>526</v>
      </c>
      <c r="E60" s="1" t="str">
        <f>_xlfn.XLOOKUP(F60,UTIL!Q:Q,UTIL!N:N,"-")</f>
        <v>019320206</v>
      </c>
      <c r="F60" s="15" t="s">
        <v>506</v>
      </c>
      <c r="G60" s="14">
        <v>400</v>
      </c>
      <c r="H60" s="4" t="s">
        <v>500</v>
      </c>
      <c r="K60" s="79"/>
      <c r="L60" s="15" t="str">
        <f>TEXT($C60,"dd.mm") &amp; " -Ped " &amp; D60 &amp; " -" &amp; F60 &amp; " -R$" &amp; G60 &amp; IF(LEN(TRIM(I60))=0, "", " -NF " &amp; TRIM(I60))</f>
        <v>14.11 -Ped 047752 -AGROMAQ TRANSPORTES -R$400</v>
      </c>
    </row>
    <row r="61" spans="1:12" ht="15" customHeight="1">
      <c r="A61" s="4" t="s">
        <v>528</v>
      </c>
      <c r="B61" s="1" t="s">
        <v>144</v>
      </c>
      <c r="C61" s="16">
        <v>45975</v>
      </c>
      <c r="D61" s="80" t="s">
        <v>526</v>
      </c>
      <c r="E61" s="1" t="str">
        <f>_xlfn.XLOOKUP(F61,UTIL!Q:Q,UTIL!N:N,"-")</f>
        <v>019320206</v>
      </c>
      <c r="F61" s="15" t="s">
        <v>506</v>
      </c>
      <c r="G61" s="14">
        <v>400</v>
      </c>
      <c r="H61" s="4" t="s">
        <v>500</v>
      </c>
      <c r="K61" s="79"/>
      <c r="L61" s="15" t="str">
        <f>TEXT($C61,"dd.mm") &amp; " -Ped " &amp; D61 &amp; " -" &amp; F61 &amp; " -R$" &amp; G61 &amp; IF(LEN(TRIM(I61))=0, "", " -NF " &amp; TRIM(I61))</f>
        <v>14.11 -Ped 047752 -AGROMAQ TRANSPORTES -R$400</v>
      </c>
    </row>
    <row r="62" spans="1:12" ht="15" customHeight="1">
      <c r="A62" s="4" t="s">
        <v>435</v>
      </c>
      <c r="B62" s="1" t="s">
        <v>421</v>
      </c>
      <c r="C62" s="16">
        <v>45971</v>
      </c>
      <c r="D62" s="80" t="s">
        <v>529</v>
      </c>
      <c r="E62" s="1" t="str">
        <f>_xlfn.XLOOKUP(F62,UTIL!Q:Q,UTIL!N:N,"-")</f>
        <v>056953013</v>
      </c>
      <c r="F62" s="15" t="s">
        <v>530</v>
      </c>
      <c r="G62" s="14">
        <v>884.29</v>
      </c>
      <c r="H62" s="4" t="s">
        <v>500</v>
      </c>
      <c r="I62" s="15">
        <v>775</v>
      </c>
      <c r="J62" s="16">
        <v>45975</v>
      </c>
      <c r="K62" s="79" t="s">
        <v>531</v>
      </c>
      <c r="L62" s="15" t="str">
        <f>TEXT($C62,"dd.mm") &amp; " -Ped " &amp; D62 &amp; " -" &amp; F62 &amp; " -R$" &amp; G62 &amp; IF(LEN(TRIM(I62))=0, "", " -NF " &amp; TRIM(I62))</f>
        <v>10.11 -Ped 047757 -CARGADEDICADA TRANS -R$884,29 -NF 775</v>
      </c>
    </row>
    <row r="63" spans="1:12" ht="15" customHeight="1">
      <c r="A63" s="4" t="s">
        <v>435</v>
      </c>
      <c r="B63" s="1" t="s">
        <v>421</v>
      </c>
      <c r="C63" s="16">
        <v>45971</v>
      </c>
      <c r="D63" s="80" t="s">
        <v>529</v>
      </c>
      <c r="E63" s="1" t="str">
        <f>_xlfn.XLOOKUP(F63,UTIL!Q:Q,UTIL!N:N,"-")</f>
        <v>056953013</v>
      </c>
      <c r="F63" s="15" t="s">
        <v>530</v>
      </c>
      <c r="G63" s="14">
        <v>884.29</v>
      </c>
      <c r="H63" s="4" t="s">
        <v>500</v>
      </c>
      <c r="I63" s="15">
        <v>776</v>
      </c>
      <c r="J63" s="16">
        <v>45975</v>
      </c>
      <c r="K63" s="79" t="s">
        <v>531</v>
      </c>
      <c r="L63" s="15" t="str">
        <f>TEXT($C63,"dd.mm") &amp; " -Ped " &amp; D63 &amp; " -" &amp; F63 &amp; " -R$" &amp; G63 &amp; IF(LEN(TRIM(I63))=0, "", " -NF " &amp; TRIM(I63))</f>
        <v>10.11 -Ped 047757 -CARGADEDICADA TRANS -R$884,29 -NF 776</v>
      </c>
    </row>
    <row r="64" spans="1:12" ht="15" customHeight="1">
      <c r="A64" s="4" t="s">
        <v>435</v>
      </c>
      <c r="B64" s="1" t="s">
        <v>421</v>
      </c>
      <c r="C64" s="16">
        <v>45971</v>
      </c>
      <c r="D64" s="80" t="s">
        <v>529</v>
      </c>
      <c r="E64" s="1" t="str">
        <f>_xlfn.XLOOKUP(F64,UTIL!Q:Q,UTIL!N:N,"-")</f>
        <v>056953013</v>
      </c>
      <c r="F64" s="15" t="s">
        <v>530</v>
      </c>
      <c r="G64" s="14">
        <v>884.29</v>
      </c>
      <c r="H64" s="4" t="s">
        <v>500</v>
      </c>
      <c r="I64" s="15">
        <v>777</v>
      </c>
      <c r="J64" s="16">
        <v>45975</v>
      </c>
      <c r="K64" s="79" t="s">
        <v>531</v>
      </c>
      <c r="L64" s="15" t="str">
        <f>TEXT($C64,"dd.mm") &amp; " -Ped " &amp; D64 &amp; " -" &amp; F64 &amp; " -R$" &amp; G64 &amp; IF(LEN(TRIM(I64))=0, "", " -NF " &amp; TRIM(I64))</f>
        <v>10.11 -Ped 047757 -CARGADEDICADA TRANS -R$884,29 -NF 777</v>
      </c>
    </row>
    <row r="65" spans="1:12" ht="15" customHeight="1">
      <c r="A65" s="4" t="s">
        <v>435</v>
      </c>
      <c r="B65" s="1" t="s">
        <v>421</v>
      </c>
      <c r="C65" s="16">
        <v>45971</v>
      </c>
      <c r="D65" s="80" t="s">
        <v>529</v>
      </c>
      <c r="E65" s="1" t="str">
        <f>_xlfn.XLOOKUP(F65,UTIL!Q:Q,UTIL!N:N,"-")</f>
        <v>056953013</v>
      </c>
      <c r="F65" s="15" t="s">
        <v>530</v>
      </c>
      <c r="G65" s="14">
        <v>884.29</v>
      </c>
      <c r="H65" s="4" t="s">
        <v>500</v>
      </c>
      <c r="I65" s="15">
        <v>778</v>
      </c>
      <c r="J65" s="16">
        <v>45975</v>
      </c>
      <c r="K65" s="79" t="s">
        <v>531</v>
      </c>
      <c r="L65" s="15" t="str">
        <f>TEXT($C65,"dd.mm") &amp; " -Ped " &amp; D65 &amp; " -" &amp; F65 &amp; " -R$" &amp; G65 &amp; IF(LEN(TRIM(I65))=0, "", " -NF " &amp; TRIM(I65))</f>
        <v>10.11 -Ped 047757 -CARGADEDICADA TRANS -R$884,29 -NF 778</v>
      </c>
    </row>
    <row r="66" spans="1:12" ht="15" customHeight="1">
      <c r="A66" s="4" t="s">
        <v>435</v>
      </c>
      <c r="B66" s="1" t="s">
        <v>421</v>
      </c>
      <c r="C66" s="16">
        <v>45971</v>
      </c>
      <c r="D66" s="80" t="s">
        <v>529</v>
      </c>
      <c r="E66" s="1" t="str">
        <f>_xlfn.XLOOKUP(F66,UTIL!Q:Q,UTIL!N:N,"-")</f>
        <v>056953013</v>
      </c>
      <c r="F66" s="15" t="s">
        <v>530</v>
      </c>
      <c r="G66" s="14">
        <v>884.29</v>
      </c>
      <c r="H66" s="4" t="s">
        <v>500</v>
      </c>
      <c r="I66" s="15">
        <v>779</v>
      </c>
      <c r="J66" s="16">
        <v>45975</v>
      </c>
      <c r="K66" s="79" t="s">
        <v>531</v>
      </c>
      <c r="L66" s="15" t="str">
        <f>TEXT($C66,"dd.mm") &amp; " -Ped " &amp; D66 &amp; " -" &amp; F66 &amp; " -R$" &amp; G66 &amp; IF(LEN(TRIM(I66))=0, "", " -NF " &amp; TRIM(I66))</f>
        <v>10.11 -Ped 047757 -CARGADEDICADA TRANS -R$884,29 -NF 779</v>
      </c>
    </row>
    <row r="67" spans="1:12" ht="15" customHeight="1">
      <c r="A67" s="4" t="s">
        <v>435</v>
      </c>
      <c r="B67" s="1" t="s">
        <v>421</v>
      </c>
      <c r="C67" s="16">
        <v>45971</v>
      </c>
      <c r="D67" s="80" t="s">
        <v>529</v>
      </c>
      <c r="E67" s="1" t="str">
        <f>_xlfn.XLOOKUP(F67,UTIL!Q:Q,UTIL!N:N,"-")</f>
        <v>056953013</v>
      </c>
      <c r="F67" s="15" t="s">
        <v>530</v>
      </c>
      <c r="G67" s="14">
        <v>884.29</v>
      </c>
      <c r="H67" s="4" t="s">
        <v>500</v>
      </c>
      <c r="I67" s="15">
        <v>781</v>
      </c>
      <c r="J67" s="16">
        <v>45975</v>
      </c>
      <c r="K67" s="79" t="s">
        <v>531</v>
      </c>
      <c r="L67" s="15" t="str">
        <f>TEXT($C67,"dd.mm") &amp; " -Ped " &amp; D67 &amp; " -" &amp; F67 &amp; " -R$" &amp; G67 &amp; IF(LEN(TRIM(I67))=0, "", " -NF " &amp; TRIM(I67))</f>
        <v>10.11 -Ped 047757 -CARGADEDICADA TRANS -R$884,29 -NF 781</v>
      </c>
    </row>
    <row r="68" spans="1:12" ht="15" customHeight="1">
      <c r="A68" s="4" t="s">
        <v>435</v>
      </c>
      <c r="B68" s="1" t="s">
        <v>421</v>
      </c>
      <c r="C68" s="16">
        <v>45971</v>
      </c>
      <c r="D68" s="80" t="s">
        <v>529</v>
      </c>
      <c r="E68" s="1" t="str">
        <f>_xlfn.XLOOKUP(F68,UTIL!Q:Q,UTIL!N:N,"-")</f>
        <v>056953013</v>
      </c>
      <c r="F68" s="15" t="s">
        <v>530</v>
      </c>
      <c r="G68" s="14">
        <v>884.29</v>
      </c>
      <c r="H68" s="4" t="s">
        <v>500</v>
      </c>
      <c r="I68" s="15">
        <v>782</v>
      </c>
      <c r="J68" s="16">
        <v>45975</v>
      </c>
      <c r="K68" s="79" t="s">
        <v>531</v>
      </c>
      <c r="L68" s="15" t="str">
        <f>TEXT($C68,"dd.mm") &amp; " -Ped " &amp; D68 &amp; " -" &amp; F68 &amp; " -R$" &amp; G68 &amp; IF(LEN(TRIM(I68))=0, "", " -NF " &amp; TRIM(I68))</f>
        <v>10.11 -Ped 047757 -CARGADEDICADA TRANS -R$884,29 -NF 782</v>
      </c>
    </row>
    <row r="69" spans="1:12" ht="15" customHeight="1">
      <c r="A69" s="4" t="s">
        <v>476</v>
      </c>
      <c r="B69" s="1" t="s">
        <v>444</v>
      </c>
      <c r="C69" s="16">
        <v>45974</v>
      </c>
      <c r="D69" s="80" t="s">
        <v>532</v>
      </c>
      <c r="E69" s="1" t="str">
        <f>_xlfn.XLOOKUP(F69,UTIL!Q:Q,UTIL!N:N,"-")</f>
        <v>061028125</v>
      </c>
      <c r="F69" s="15" t="s">
        <v>533</v>
      </c>
      <c r="G69" s="14">
        <v>270</v>
      </c>
      <c r="H69" s="4" t="s">
        <v>500</v>
      </c>
      <c r="K69" s="79" t="s">
        <v>534</v>
      </c>
      <c r="L69" s="15" t="str">
        <f>TEXT($C69,"dd.mm") &amp; " -Ped " &amp; D69 &amp; " -" &amp; F69 &amp; " -R$" &amp; G69 &amp; IF(LEN(TRIM(I69))=0, "", " -NF " &amp; TRIM(I69))</f>
        <v>13.11 -Ped 047758 -INCOMESPMUNCK TRANSP -R$270</v>
      </c>
    </row>
    <row r="70" spans="1:12" ht="15" customHeight="1">
      <c r="A70" s="4" t="s">
        <v>154</v>
      </c>
      <c r="B70" s="1" t="s">
        <v>421</v>
      </c>
      <c r="C70" s="16">
        <v>45975</v>
      </c>
      <c r="D70" s="80" t="s">
        <v>535</v>
      </c>
      <c r="E70" s="1" t="str">
        <f>_xlfn.XLOOKUP(F70,UTIL!Q:Q,UTIL!N:N,"-")</f>
        <v>010273940</v>
      </c>
      <c r="F70" s="15" t="s">
        <v>488</v>
      </c>
      <c r="G70" s="14">
        <v>216</v>
      </c>
      <c r="H70" s="4" t="s">
        <v>500</v>
      </c>
      <c r="K70" s="79" t="s">
        <v>536</v>
      </c>
      <c r="L70" s="15" t="str">
        <f>TEXT($C70,"dd.mm") &amp; " -Ped " &amp; D70 &amp; " -" &amp; F70 &amp; " -R$" &amp; G70 &amp; IF(LEN(TRIM(I70))=0, "", " -NF " &amp; TRIM(I70))</f>
        <v>14.11 -Ped 047800 -SERIE4 - MT 1 -R$216</v>
      </c>
    </row>
    <row r="71" spans="1:12" ht="15" customHeight="1">
      <c r="A71" s="4" t="s">
        <v>154</v>
      </c>
      <c r="B71" s="1" t="s">
        <v>421</v>
      </c>
      <c r="C71" s="16">
        <v>45975</v>
      </c>
      <c r="D71" s="80" t="s">
        <v>535</v>
      </c>
      <c r="E71" s="1" t="str">
        <f>_xlfn.XLOOKUP(F71,UTIL!Q:Q,UTIL!N:N,"-")</f>
        <v>010273940</v>
      </c>
      <c r="F71" s="15" t="s">
        <v>488</v>
      </c>
      <c r="G71" s="14">
        <v>120</v>
      </c>
      <c r="H71" s="4" t="s">
        <v>500</v>
      </c>
      <c r="K71" s="79" t="s">
        <v>537</v>
      </c>
      <c r="L71" s="15" t="str">
        <f>TEXT($C71,"dd.mm") &amp; " -Ped " &amp; D71 &amp; " -" &amp; F71 &amp; " -R$" &amp; G71 &amp; IF(LEN(TRIM(I71))=0, "", " -NF " &amp; TRIM(I71))</f>
        <v>14.11 -Ped 047800 -SERIE4 - MT 1 -R$120</v>
      </c>
    </row>
    <row r="72" spans="1:12" ht="15" customHeight="1">
      <c r="A72" s="4" t="s">
        <v>476</v>
      </c>
      <c r="B72" s="1" t="s">
        <v>421</v>
      </c>
      <c r="C72" s="16">
        <v>45973</v>
      </c>
      <c r="D72" s="80" t="s">
        <v>538</v>
      </c>
      <c r="E72" s="1" t="str">
        <f>_xlfn.XLOOKUP(F72,UTIL!Q:Q,UTIL!N:N,"-")</f>
        <v>000495608</v>
      </c>
      <c r="F72" s="15" t="s">
        <v>539</v>
      </c>
      <c r="G72" s="14">
        <v>440</v>
      </c>
      <c r="H72" s="4" t="s">
        <v>500</v>
      </c>
      <c r="K72" s="79" t="s">
        <v>540</v>
      </c>
      <c r="L72" s="15" t="str">
        <f>TEXT($C72,"dd.mm") &amp; " -Ped " &amp; D72 &amp; " -" &amp; F72 &amp; " -R$" &amp; G72 &amp; IF(LEN(TRIM(I72))=0, "", " -NF " &amp; TRIM(I72))</f>
        <v>12.11 -Ped 047801 -MONTPAR GUINDASTES -R$440</v>
      </c>
    </row>
    <row r="73" spans="1:12" ht="15" customHeight="1">
      <c r="A73" s="4" t="s">
        <v>527</v>
      </c>
      <c r="B73" s="1" t="s">
        <v>144</v>
      </c>
      <c r="C73" s="16">
        <v>45975</v>
      </c>
      <c r="D73" s="80" t="s">
        <v>541</v>
      </c>
      <c r="E73" s="1" t="str">
        <f>_xlfn.XLOOKUP(F73,UTIL!Q:Q,UTIL!N:N,"-")</f>
        <v>032603119</v>
      </c>
      <c r="F73" s="15" t="s">
        <v>542</v>
      </c>
      <c r="G73" s="14">
        <v>3800</v>
      </c>
      <c r="H73" s="4" t="s">
        <v>500</v>
      </c>
      <c r="K73" s="79"/>
      <c r="L73" s="15" t="str">
        <f>TEXT($C73,"dd.mm") &amp; " -Ped " &amp; D73 &amp; " -" &amp; F73 &amp; " -R$" &amp; G73 &amp; IF(LEN(TRIM(I73))=0, "", " -NF " &amp; TRIM(I73))</f>
        <v>14.11 -Ped 047802 -ZORTEA TRANSPORTES -R$3800</v>
      </c>
    </row>
    <row r="74" spans="1:12" ht="15" customHeight="1">
      <c r="A74" s="4" t="s">
        <v>528</v>
      </c>
      <c r="B74" s="1" t="s">
        <v>144</v>
      </c>
      <c r="C74" s="16">
        <v>45975</v>
      </c>
      <c r="D74" s="80" t="s">
        <v>541</v>
      </c>
      <c r="E74" s="1" t="str">
        <f>_xlfn.XLOOKUP(F74,UTIL!Q:Q,UTIL!N:N,"-")</f>
        <v>032603119</v>
      </c>
      <c r="F74" s="15" t="s">
        <v>542</v>
      </c>
      <c r="G74" s="14">
        <v>1600</v>
      </c>
      <c r="H74" s="4" t="s">
        <v>500</v>
      </c>
      <c r="K74" s="79"/>
      <c r="L74" s="15" t="str">
        <f>TEXT($C74,"dd.mm") &amp; " -Ped " &amp; D74 &amp; " -" &amp; F74 &amp; " -R$" &amp; G74 &amp; IF(LEN(TRIM(I74))=0, "", " -NF " &amp; TRIM(I74))</f>
        <v>14.11 -Ped 047802 -ZORTEA TRANSPORTES -R$1600</v>
      </c>
    </row>
    <row r="75" spans="1:12" ht="15" customHeight="1">
      <c r="A75" s="4" t="s">
        <v>543</v>
      </c>
      <c r="B75" s="1" t="s">
        <v>444</v>
      </c>
      <c r="C75" s="16">
        <v>45978</v>
      </c>
      <c r="D75" s="80" t="s">
        <v>544</v>
      </c>
      <c r="E75" s="1" t="str">
        <f>_xlfn.XLOOKUP(F75,UTIL!Q:Q,UTIL!N:N,"-")</f>
        <v>006233947</v>
      </c>
      <c r="F75" s="15" t="s">
        <v>545</v>
      </c>
      <c r="G75" s="14">
        <v>9600</v>
      </c>
      <c r="H75" s="4" t="s">
        <v>500</v>
      </c>
      <c r="K75" s="79"/>
      <c r="L75" s="15" t="str">
        <f>TEXT($C75,"dd.mm") &amp; " -Ped " &amp; D75 &amp; " -" &amp; F75 &amp; " -R$" &amp; G75 &amp; IF(LEN(TRIM(I75))=0, "", " -NF " &amp; TRIM(I75))</f>
        <v>17.11 -Ped 047803 -LUG TRANSPORTES -R$9600</v>
      </c>
    </row>
    <row r="76" spans="1:12" ht="15" customHeight="1">
      <c r="A76" s="4" t="s">
        <v>468</v>
      </c>
      <c r="B76" s="1" t="s">
        <v>142</v>
      </c>
      <c r="C76" s="16">
        <v>45975</v>
      </c>
      <c r="D76" s="80" t="s">
        <v>546</v>
      </c>
      <c r="E76" s="1" t="str">
        <f>_xlfn.XLOOKUP(F76,UTIL!Q:Q,UTIL!N:N,"-")</f>
        <v>018725298</v>
      </c>
      <c r="F76" s="15" t="s">
        <v>547</v>
      </c>
      <c r="G76" s="14">
        <v>3662.3</v>
      </c>
      <c r="H76" s="4" t="s">
        <v>500</v>
      </c>
      <c r="K76" s="79" t="s">
        <v>548</v>
      </c>
      <c r="L76" s="15" t="str">
        <f>TEXT($C76,"dd.mm") &amp; " -Ped " &amp; D76 &amp; " -" &amp; F76 &amp; " -R$" &amp; G76 &amp; IF(LEN(TRIM(I76))=0, "", " -NF " &amp; TRIM(I76))</f>
        <v>14.11 -Ped 047804 -MAZETTO TRANSPORTES -R$3662,3</v>
      </c>
    </row>
    <row r="77" spans="1:12" ht="15" customHeight="1">
      <c r="A77" s="4" t="s">
        <v>468</v>
      </c>
      <c r="B77" s="1" t="s">
        <v>444</v>
      </c>
      <c r="C77" s="16">
        <v>45964</v>
      </c>
      <c r="D77" s="80" t="s">
        <v>549</v>
      </c>
      <c r="E77" s="1" t="str">
        <f>_xlfn.XLOOKUP(F77,UTIL!Q:Q,UTIL!N:N,"-")</f>
        <v>018725298</v>
      </c>
      <c r="F77" s="15" t="s">
        <v>547</v>
      </c>
      <c r="G77" s="14">
        <v>1352</v>
      </c>
      <c r="H77" s="4" t="s">
        <v>500</v>
      </c>
      <c r="K77" s="79" t="s">
        <v>550</v>
      </c>
      <c r="L77" s="15" t="str">
        <f>TEXT($C77,"dd.mm") &amp; " -Ped " &amp; D77 &amp; " -" &amp; F77 &amp; " -R$" &amp; G77 &amp; IF(LEN(TRIM(I77))=0, "", " -NF " &amp; TRIM(I77))</f>
        <v>03.11 -Ped 047805 -MAZETTO TRANSPORTES -R$1352</v>
      </c>
    </row>
    <row r="78" spans="1:12" ht="15" customHeight="1">
      <c r="A78" s="4" t="s">
        <v>527</v>
      </c>
      <c r="B78" s="1" t="s">
        <v>444</v>
      </c>
      <c r="C78" s="16">
        <v>45964</v>
      </c>
      <c r="D78" s="80" t="s">
        <v>549</v>
      </c>
      <c r="E78" s="1" t="str">
        <f>_xlfn.XLOOKUP(F78,UTIL!Q:Q,UTIL!N:N,"-")</f>
        <v>018725298</v>
      </c>
      <c r="F78" s="15" t="s">
        <v>547</v>
      </c>
      <c r="G78" s="14">
        <v>650</v>
      </c>
      <c r="H78" s="4" t="s">
        <v>500</v>
      </c>
      <c r="K78" s="79" t="s">
        <v>551</v>
      </c>
      <c r="L78" s="15" t="str">
        <f>TEXT($C78,"dd.mm") &amp; " -Ped " &amp; D78 &amp; " -" &amp; F78 &amp; " -R$" &amp; G78 &amp; IF(LEN(TRIM(I78))=0, "", " -NF " &amp; TRIM(I78))</f>
        <v>03.11 -Ped 047805 -MAZETTO TRANSPORTES -R$650</v>
      </c>
    </row>
    <row r="79" spans="1:12" ht="15" customHeight="1">
      <c r="A79" s="4" t="s">
        <v>528</v>
      </c>
      <c r="B79" s="1" t="s">
        <v>444</v>
      </c>
      <c r="C79" s="16">
        <v>45964</v>
      </c>
      <c r="D79" s="80" t="s">
        <v>549</v>
      </c>
      <c r="E79" s="1" t="str">
        <f>_xlfn.XLOOKUP(F79,UTIL!Q:Q,UTIL!N:N,"-")</f>
        <v>018725298</v>
      </c>
      <c r="F79" s="15" t="s">
        <v>547</v>
      </c>
      <c r="G79" s="14">
        <v>650</v>
      </c>
      <c r="H79" s="4" t="s">
        <v>500</v>
      </c>
      <c r="K79" s="79" t="s">
        <v>552</v>
      </c>
      <c r="L79" s="15" t="str">
        <f>TEXT($C79,"dd.mm") &amp; " -Ped " &amp; D79 &amp; " -" &amp; F79 &amp; " -R$" &amp; G79 &amp; IF(LEN(TRIM(I79))=0, "", " -NF " &amp; TRIM(I79))</f>
        <v>03.11 -Ped 047805 -MAZETTO TRANSPORTES -R$650</v>
      </c>
    </row>
    <row r="80" spans="1:12" ht="15" customHeight="1">
      <c r="A80" s="4" t="s">
        <v>468</v>
      </c>
      <c r="B80" s="1" t="s">
        <v>444</v>
      </c>
      <c r="C80" s="16">
        <v>45966</v>
      </c>
      <c r="D80" s="80" t="s">
        <v>549</v>
      </c>
      <c r="E80" s="1" t="str">
        <f>_xlfn.XLOOKUP(F80,UTIL!Q:Q,UTIL!N:N,"-")</f>
        <v>018725298</v>
      </c>
      <c r="F80" s="15" t="s">
        <v>547</v>
      </c>
      <c r="G80" s="14">
        <v>1458</v>
      </c>
      <c r="H80" s="4" t="s">
        <v>500</v>
      </c>
      <c r="K80" s="79" t="s">
        <v>553</v>
      </c>
      <c r="L80" s="15" t="str">
        <f>TEXT($C80,"dd.mm") &amp; " -Ped " &amp; D80 &amp; " -" &amp; F80 &amp; " -R$" &amp; G80 &amp; IF(LEN(TRIM(I80))=0, "", " -NF " &amp; TRIM(I80))</f>
        <v>05.11 -Ped 047805 -MAZETTO TRANSPORTES -R$1458</v>
      </c>
    </row>
    <row r="81" spans="1:12" ht="15" customHeight="1">
      <c r="A81" s="4" t="s">
        <v>468</v>
      </c>
      <c r="B81" s="1" t="s">
        <v>444</v>
      </c>
      <c r="C81" s="16">
        <v>45968</v>
      </c>
      <c r="D81" s="80" t="s">
        <v>554</v>
      </c>
      <c r="E81" s="1" t="str">
        <f>_xlfn.XLOOKUP(F81,UTIL!Q:Q,UTIL!N:N,"-")</f>
        <v>018725298</v>
      </c>
      <c r="F81" s="15" t="s">
        <v>547</v>
      </c>
      <c r="G81" s="14">
        <v>2890</v>
      </c>
      <c r="H81" s="4" t="s">
        <v>500</v>
      </c>
      <c r="K81" s="79" t="s">
        <v>555</v>
      </c>
      <c r="L81" s="15" t="str">
        <f>TEXT($C81,"dd.mm") &amp; " -Ped " &amp; D81 &amp; " -" &amp; F81 &amp; " -R$" &amp; G81 &amp; IF(LEN(TRIM(I81))=0, "", " -NF " &amp; TRIM(I81))</f>
        <v>07.11 -Ped 047806 -MAZETTO TRANSPORTES -R$2890</v>
      </c>
    </row>
    <row r="82" spans="1:12" ht="15" customHeight="1">
      <c r="A82" s="4" t="s">
        <v>468</v>
      </c>
      <c r="B82" s="1" t="s">
        <v>444</v>
      </c>
      <c r="C82" s="16">
        <v>45972</v>
      </c>
      <c r="D82" s="80" t="s">
        <v>554</v>
      </c>
      <c r="E82" s="1" t="str">
        <f>_xlfn.XLOOKUP(F82,UTIL!Q:Q,UTIL!N:N,"-")</f>
        <v>018725298</v>
      </c>
      <c r="F82" s="15" t="s">
        <v>547</v>
      </c>
      <c r="G82" s="14">
        <v>1389</v>
      </c>
      <c r="H82" s="4" t="s">
        <v>500</v>
      </c>
      <c r="K82" s="79" t="s">
        <v>556</v>
      </c>
      <c r="L82" s="15" t="str">
        <f>TEXT($C82,"dd.mm") &amp; " -Ped " &amp; D82 &amp; " -" &amp; F82 &amp; " -R$" &amp; G82 &amp; IF(LEN(TRIM(I82))=0, "", " -NF " &amp; TRIM(I82))</f>
        <v>11.11 -Ped 047806 -MAZETTO TRANSPORTES -R$1389</v>
      </c>
    </row>
    <row r="83" spans="1:12" ht="15" customHeight="1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  <row r="91" spans="1:12" ht="15" customHeight="1">
      <c r="A91" s="4"/>
      <c r="E91" s="1" t="str">
        <f>_xlfn.XLOOKUP(F91,UTIL!Q:Q,UTIL!N:N,"-")</f>
        <v>0</v>
      </c>
      <c r="H91" s="4"/>
      <c r="K91" s="79"/>
      <c r="L91" s="15" t="str">
        <f>TEXT($C91,"dd.mm") &amp; " -Ped " &amp; D91 &amp; " -" &amp; F91 &amp; " -R$" &amp; G91 &amp; IF(LEN(TRIM(I91))=0, "", " -NF " &amp; TRIM(I91))</f>
        <v>00.01 -Ped  - -R$</v>
      </c>
    </row>
    <row r="92" spans="1:12" ht="15" customHeight="1">
      <c r="A92" s="4"/>
      <c r="E92" s="1" t="str">
        <f>_xlfn.XLOOKUP(F92,UTIL!Q:Q,UTIL!N:N,"-")</f>
        <v>0</v>
      </c>
      <c r="H92" s="4"/>
      <c r="K92" s="79"/>
      <c r="L92" s="15" t="str">
        <f>TEXT($C92,"dd.mm") &amp; " -Ped " &amp; D92 &amp; " -" &amp; F92 &amp; " -R$" &amp; G92 &amp; IF(LEN(TRIM(I92))=0, "", " -NF " &amp; TRIM(I92))</f>
        <v>00.01 -Ped  - -R$</v>
      </c>
    </row>
    <row r="93" spans="1:12" ht="15" customHeight="1">
      <c r="A93" s="4"/>
      <c r="E93" s="1" t="str">
        <f>_xlfn.XLOOKUP(F93,UTIL!Q:Q,UTIL!N:N,"-")</f>
        <v>0</v>
      </c>
      <c r="H93" s="4"/>
      <c r="K93" s="79"/>
      <c r="L93" s="15" t="str">
        <f>TEXT($C93,"dd.mm") &amp; " -Ped " &amp; D93 &amp; " -" &amp; F93 &amp; " -R$" &amp; G93 &amp; IF(LEN(TRIM(I93))=0, "", " -NF " &amp; TRIM(I93))</f>
        <v>00.01 -Ped  - -R$</v>
      </c>
    </row>
  </sheetData>
  <conditionalFormatting sqref="A2:H9999">
    <cfRule type="expression" dxfId="83" priority="1">
      <formula>$H2="APROVADO"</formula>
    </cfRule>
    <cfRule type="expression" dxfId="82" priority="3">
      <formula>$H2="AGUARDANDO"</formula>
    </cfRule>
  </conditionalFormatting>
  <conditionalFormatting sqref="A2:L9999">
    <cfRule type="expression" dxfId="81" priority="5">
      <formula>LEN(TRIM($A2))=0</formula>
    </cfRule>
    <cfRule type="expression" dxfId="80" priority="6">
      <formula>LEN(TRIM($J2))=0</formula>
    </cfRule>
  </conditionalFormatting>
  <conditionalFormatting sqref="I2:L9999">
    <cfRule type="expression" dxfId="79" priority="2">
      <formula>LEN(TRIM($J2))&gt;0</formula>
    </cfRule>
  </conditionalFormatting>
  <dataValidations count="3">
    <dataValidation type="list" allowBlank="1" showInputMessage="1" showErrorMessage="1" sqref="B2:B31" xr:uid="{FD6CA7BB-7D1C-4797-8D49-8B0EACD1DAD0}">
      <formula1>"PG; CASTRO; IRATI; ARAPOTI; TIBAGI; GRPVA; PRUDE; QUEDAS"</formula1>
    </dataValidation>
    <dataValidation type="list" allowBlank="1" showInputMessage="1" showErrorMessage="1" sqref="B32:B93" xr:uid="{DAB08B16-AC0C-474C-BCD9-EA4EC6EDF2B0}">
      <formula1>"PG, CASTRO, IRATI, ARAPOTI, TIBAGI, GRPVA, PRUDE, QUEDAS"</formula1>
    </dataValidation>
    <dataValidation type="list" allowBlank="1" showInputMessage="1" showErrorMessage="1" sqref="H2:H93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74" customWidth="1"/>
    <col min="2" max="2" width="20.5703125" style="74" customWidth="1"/>
    <col min="3" max="3" width="18.140625" style="74" bestFit="1" customWidth="1"/>
    <col min="4" max="4" width="16.5703125" style="74" bestFit="1" customWidth="1"/>
    <col min="5" max="5" width="21.85546875" style="74" customWidth="1"/>
    <col min="6" max="6" width="20" style="74" customWidth="1"/>
    <col min="7" max="7" width="21.140625" style="77" bestFit="1" customWidth="1"/>
    <col min="8" max="9" width="20" style="74" customWidth="1"/>
    <col min="10" max="10" width="15.85546875" style="74" bestFit="1" customWidth="1"/>
    <col min="11" max="11" width="18.28515625" style="74" bestFit="1" customWidth="1"/>
    <col min="12" max="15" width="20" style="74" customWidth="1"/>
    <col min="16" max="16384" width="12" style="1" hidden="1"/>
  </cols>
  <sheetData>
    <row r="1" spans="1:15" s="6" customFormat="1" ht="28.9">
      <c r="A1" s="5" t="s">
        <v>159</v>
      </c>
      <c r="B1" s="6" t="s">
        <v>169</v>
      </c>
      <c r="C1" s="6" t="s">
        <v>557</v>
      </c>
      <c r="D1" s="6" t="s">
        <v>558</v>
      </c>
      <c r="E1" s="5" t="s">
        <v>559</v>
      </c>
      <c r="F1" s="6" t="s">
        <v>560</v>
      </c>
      <c r="G1" s="76" t="s">
        <v>561</v>
      </c>
      <c r="H1" s="6" t="s">
        <v>562</v>
      </c>
      <c r="I1" s="6" t="s">
        <v>563</v>
      </c>
      <c r="J1" s="6" t="s">
        <v>564</v>
      </c>
      <c r="K1" s="5" t="s">
        <v>565</v>
      </c>
      <c r="L1" s="6" t="s">
        <v>566</v>
      </c>
      <c r="M1" s="6" t="s">
        <v>567</v>
      </c>
      <c r="N1" s="6" t="s">
        <v>568</v>
      </c>
      <c r="O1" s="6" t="s">
        <v>569</v>
      </c>
    </row>
    <row r="2" spans="1:15" ht="72.75">
      <c r="A2" s="73" t="s">
        <v>178</v>
      </c>
      <c r="B2" s="74" t="s">
        <v>570</v>
      </c>
      <c r="C2" s="75">
        <v>45973</v>
      </c>
      <c r="E2" s="73" t="s">
        <v>571</v>
      </c>
      <c r="F2" s="74" t="s">
        <v>572</v>
      </c>
      <c r="G2" s="77" t="s">
        <v>573</v>
      </c>
      <c r="H2" s="74" t="s">
        <v>183</v>
      </c>
      <c r="I2" s="74" t="s">
        <v>574</v>
      </c>
      <c r="J2" s="74" t="s">
        <v>146</v>
      </c>
      <c r="K2" s="73">
        <v>42988689045</v>
      </c>
    </row>
  </sheetData>
  <conditionalFormatting sqref="A2:O9997">
    <cfRule type="expression" dxfId="64" priority="1">
      <formula>$A2="REGISTRADO"</formula>
    </cfRule>
    <cfRule type="expression" dxfId="63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A210"/>
  <sheetViews>
    <sheetView showGridLines="0" topLeftCell="A139" workbookViewId="0">
      <selection activeCell="Q176" sqref="Q176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1" bestFit="1" customWidth="1"/>
    <col min="7" max="7" width="5" style="51" bestFit="1" customWidth="1"/>
    <col min="8" max="8" width="5.140625" style="51" bestFit="1" customWidth="1"/>
    <col min="9" max="9" width="5.42578125" style="51" bestFit="1" customWidth="1"/>
    <col min="10" max="10" width="6" style="21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19.7109375" style="7" bestFit="1" customWidth="1"/>
    <col min="18" max="18" width="25.140625" style="7" bestFit="1" customWidth="1"/>
    <col min="19" max="19" width="4.7109375" style="7" bestFit="1" customWidth="1"/>
    <col min="20" max="20" width="1.7109375" style="7" customWidth="1"/>
    <col min="21" max="21" width="2" style="7" bestFit="1" customWidth="1"/>
    <col min="22" max="22" width="59.140625" style="8" bestFit="1" customWidth="1"/>
    <col min="23" max="23" width="11.7109375" style="52" bestFit="1" customWidth="1"/>
    <col min="24" max="24" width="1.7109375" style="7" customWidth="1"/>
    <col min="25" max="25" width="16.5703125" style="7" bestFit="1" customWidth="1"/>
    <col min="26" max="26" width="53.140625" style="7" bestFit="1" customWidth="1"/>
    <col min="27" max="27" width="10.7109375" style="7" bestFit="1" customWidth="1"/>
    <col min="28" max="16384" width="8.85546875" style="7"/>
  </cols>
  <sheetData>
    <row r="1" spans="1:27" ht="14.45" customHeight="1">
      <c r="A1" s="17" t="s">
        <v>575</v>
      </c>
      <c r="B1" s="17" t="s">
        <v>576</v>
      </c>
      <c r="C1" s="17" t="s">
        <v>577</v>
      </c>
      <c r="D1" s="17" t="s">
        <v>578</v>
      </c>
      <c r="E1" s="17" t="s">
        <v>172</v>
      </c>
      <c r="F1" s="49" t="s">
        <v>579</v>
      </c>
      <c r="G1" s="49" t="s">
        <v>580</v>
      </c>
      <c r="H1" s="49" t="s">
        <v>581</v>
      </c>
      <c r="I1" s="49" t="s">
        <v>582</v>
      </c>
      <c r="J1" s="19" t="s">
        <v>583</v>
      </c>
      <c r="K1" s="17" t="s">
        <v>584</v>
      </c>
      <c r="L1" s="167" t="s">
        <v>566</v>
      </c>
      <c r="N1" s="17" t="s">
        <v>413</v>
      </c>
      <c r="O1" s="22" t="s">
        <v>585</v>
      </c>
      <c r="P1" s="17" t="s">
        <v>586</v>
      </c>
      <c r="Q1" s="17" t="s">
        <v>587</v>
      </c>
      <c r="R1" s="17" t="s">
        <v>588</v>
      </c>
      <c r="S1" s="167" t="s">
        <v>589</v>
      </c>
      <c r="U1" s="7">
        <v>1</v>
      </c>
      <c r="V1" s="66" t="s">
        <v>590</v>
      </c>
      <c r="W1" s="52" t="s">
        <v>591</v>
      </c>
      <c r="Y1" s="67" t="s">
        <v>413</v>
      </c>
      <c r="Z1" s="68" t="s">
        <v>592</v>
      </c>
      <c r="AA1" s="57"/>
    </row>
    <row r="2" spans="1:27">
      <c r="A2" s="18">
        <v>1</v>
      </c>
      <c r="B2" s="18" t="s">
        <v>593</v>
      </c>
      <c r="C2" s="18" t="s">
        <v>594</v>
      </c>
      <c r="D2" s="18" t="s">
        <v>595</v>
      </c>
      <c r="E2" s="18" t="s">
        <v>596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167"/>
      <c r="N2" s="18" t="str">
        <f t="shared" ref="N2:N65" si="0">"0"&amp;LEFT(TEXT(SUBSTITUTE(SUBSTITUTE(SUBSTITUTE(O2,".",""),"/",""),"-",""),"00000000000000"),8)</f>
        <v>020920599</v>
      </c>
      <c r="O2" s="23">
        <v>20920599000199</v>
      </c>
      <c r="P2" s="18" t="s">
        <v>597</v>
      </c>
      <c r="Q2" s="18" t="s">
        <v>598</v>
      </c>
      <c r="R2" s="18" t="s">
        <v>599</v>
      </c>
      <c r="S2" s="167"/>
      <c r="V2" s="8" t="s">
        <v>600</v>
      </c>
      <c r="Y2" s="53" t="s">
        <v>601</v>
      </c>
      <c r="Z2" s="54" t="s">
        <v>602</v>
      </c>
      <c r="AA2" s="55"/>
    </row>
    <row r="3" spans="1:27">
      <c r="A3" s="18">
        <v>1</v>
      </c>
      <c r="B3" s="18" t="s">
        <v>603</v>
      </c>
      <c r="C3" s="18" t="s">
        <v>594</v>
      </c>
      <c r="D3" s="18" t="s">
        <v>604</v>
      </c>
      <c r="E3" s="18" t="s">
        <v>605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67"/>
      <c r="N3" s="18" t="str">
        <f t="shared" si="0"/>
        <v>019320206</v>
      </c>
      <c r="O3" s="23">
        <v>19320206000127</v>
      </c>
      <c r="P3" s="18" t="s">
        <v>606</v>
      </c>
      <c r="Q3" s="18" t="s">
        <v>506</v>
      </c>
      <c r="R3" s="18" t="s">
        <v>607</v>
      </c>
      <c r="S3" s="167"/>
      <c r="U3" s="7">
        <v>2</v>
      </c>
      <c r="V3" s="66" t="s">
        <v>608</v>
      </c>
      <c r="W3" s="52" t="s">
        <v>609</v>
      </c>
      <c r="Y3" s="53" t="s">
        <v>610</v>
      </c>
      <c r="Z3" s="54" t="s">
        <v>611</v>
      </c>
      <c r="AA3" s="55"/>
    </row>
    <row r="4" spans="1:27">
      <c r="A4" s="18">
        <v>1</v>
      </c>
      <c r="B4" s="18" t="s">
        <v>603</v>
      </c>
      <c r="C4" s="18" t="s">
        <v>594</v>
      </c>
      <c r="D4" s="18" t="s">
        <v>604</v>
      </c>
      <c r="E4" s="18" t="s">
        <v>612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1"/>
        <v>A:2,38 x C:4,08 x L:1,44-1,88 x P:2.710kg</v>
      </c>
      <c r="L4" s="167"/>
      <c r="N4" s="18" t="str">
        <f t="shared" si="0"/>
        <v>044160580</v>
      </c>
      <c r="O4" s="23">
        <v>44160580000150</v>
      </c>
      <c r="P4" s="18" t="s">
        <v>613</v>
      </c>
      <c r="Q4" s="18" t="s">
        <v>614</v>
      </c>
      <c r="R4" s="18" t="s">
        <v>615</v>
      </c>
      <c r="S4" s="167"/>
      <c r="V4" s="8" t="s">
        <v>616</v>
      </c>
      <c r="Y4" s="53" t="s">
        <v>617</v>
      </c>
      <c r="Z4" s="54" t="s">
        <v>618</v>
      </c>
      <c r="AA4" s="55"/>
    </row>
    <row r="5" spans="1:27">
      <c r="A5" s="18">
        <v>1</v>
      </c>
      <c r="B5" s="18" t="s">
        <v>603</v>
      </c>
      <c r="C5" s="18" t="s">
        <v>594</v>
      </c>
      <c r="D5" s="18" t="s">
        <v>604</v>
      </c>
      <c r="E5" s="18" t="s">
        <v>619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1"/>
        <v>A:2,38 x C:4,08 x L:1,44-1,88 x P:2.710kg</v>
      </c>
      <c r="L5" s="167"/>
      <c r="N5" s="18" t="str">
        <f t="shared" si="0"/>
        <v>048501079</v>
      </c>
      <c r="O5" s="23">
        <v>48501079000160</v>
      </c>
      <c r="P5" s="18" t="s">
        <v>620</v>
      </c>
      <c r="Q5" s="18" t="s">
        <v>621</v>
      </c>
      <c r="R5" s="18" t="s">
        <v>622</v>
      </c>
      <c r="S5" s="167"/>
      <c r="U5" s="7">
        <v>3</v>
      </c>
      <c r="V5" s="66" t="s">
        <v>623</v>
      </c>
      <c r="W5" s="52" t="s">
        <v>624</v>
      </c>
      <c r="Y5" s="53" t="s">
        <v>625</v>
      </c>
      <c r="Z5" s="54" t="s">
        <v>626</v>
      </c>
      <c r="AA5" s="55"/>
    </row>
    <row r="6" spans="1:27">
      <c r="A6" s="18">
        <v>1</v>
      </c>
      <c r="B6" s="18" t="s">
        <v>603</v>
      </c>
      <c r="C6" s="18" t="s">
        <v>594</v>
      </c>
      <c r="D6" s="18" t="s">
        <v>627</v>
      </c>
      <c r="E6" s="18" t="s">
        <v>628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1"/>
        <v>A:2,60 x C:4,08 x L:1,45-2,00 x P:5.100kg</v>
      </c>
      <c r="L6" s="167"/>
      <c r="N6" s="18" t="str">
        <f t="shared" si="0"/>
        <v>031553361</v>
      </c>
      <c r="O6" s="23">
        <v>31553361000199</v>
      </c>
      <c r="P6" s="18" t="s">
        <v>629</v>
      </c>
      <c r="Q6" s="18" t="s">
        <v>630</v>
      </c>
      <c r="R6" s="18" t="s">
        <v>631</v>
      </c>
      <c r="S6" s="167"/>
      <c r="V6" s="8" t="s">
        <v>632</v>
      </c>
      <c r="Y6" s="53" t="s">
        <v>633</v>
      </c>
      <c r="Z6" s="54" t="s">
        <v>634</v>
      </c>
      <c r="AA6" s="56" t="s">
        <v>635</v>
      </c>
    </row>
    <row r="7" spans="1:27">
      <c r="A7" s="18">
        <v>1</v>
      </c>
      <c r="B7" s="18" t="s">
        <v>603</v>
      </c>
      <c r="C7" s="18" t="s">
        <v>594</v>
      </c>
      <c r="D7" s="18" t="s">
        <v>636</v>
      </c>
      <c r="E7" s="18" t="s">
        <v>637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1"/>
        <v>A:2,77 x C:4,17 x L:1,45-2,00 x P:5.100kg</v>
      </c>
      <c r="L7" s="167"/>
      <c r="N7" s="18" t="str">
        <f t="shared" si="0"/>
        <v>050435638</v>
      </c>
      <c r="O7" s="23">
        <v>50435638000123</v>
      </c>
      <c r="P7" s="18" t="s">
        <v>638</v>
      </c>
      <c r="Q7" s="18" t="s">
        <v>502</v>
      </c>
      <c r="R7" s="18" t="s">
        <v>599</v>
      </c>
      <c r="S7" s="167"/>
      <c r="U7" s="7">
        <v>4</v>
      </c>
      <c r="V7" s="66" t="s">
        <v>639</v>
      </c>
      <c r="W7" s="52" t="s">
        <v>640</v>
      </c>
      <c r="Y7" s="53" t="s">
        <v>641</v>
      </c>
      <c r="Z7" s="54" t="s">
        <v>642</v>
      </c>
      <c r="AA7" s="56"/>
    </row>
    <row r="8" spans="1:27">
      <c r="A8" s="18">
        <v>1</v>
      </c>
      <c r="B8" s="18" t="s">
        <v>603</v>
      </c>
      <c r="C8" s="18" t="s">
        <v>594</v>
      </c>
      <c r="D8" s="18" t="s">
        <v>643</v>
      </c>
      <c r="E8" s="18" t="s">
        <v>644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1"/>
        <v>A:2,60 x C:4,08 x L:1,45-2,00 x P:5.100kg</v>
      </c>
      <c r="L8" s="167"/>
      <c r="N8" s="18" t="str">
        <f t="shared" si="0"/>
        <v>046570181</v>
      </c>
      <c r="O8" s="23">
        <v>46570181000192</v>
      </c>
      <c r="P8" s="18" t="s">
        <v>645</v>
      </c>
      <c r="Q8" s="18" t="s">
        <v>646</v>
      </c>
      <c r="R8" s="18" t="s">
        <v>631</v>
      </c>
      <c r="S8" s="167"/>
      <c r="V8" s="8" t="s">
        <v>647</v>
      </c>
      <c r="Y8" s="67" t="s">
        <v>413</v>
      </c>
      <c r="Z8" s="68" t="s">
        <v>648</v>
      </c>
      <c r="AA8" s="57"/>
    </row>
    <row r="9" spans="1:27">
      <c r="A9" s="18">
        <v>1</v>
      </c>
      <c r="B9" s="18" t="s">
        <v>603</v>
      </c>
      <c r="C9" s="18" t="s">
        <v>594</v>
      </c>
      <c r="D9" s="18" t="s">
        <v>649</v>
      </c>
      <c r="E9" s="18" t="s">
        <v>650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1"/>
        <v>A:2,77 x C:4,17 x L:1,45-2,00 x P:5.100kg</v>
      </c>
      <c r="L9" s="167"/>
      <c r="N9" s="18" t="str">
        <f t="shared" si="0"/>
        <v>061196032</v>
      </c>
      <c r="O9" s="23">
        <v>61196032000107</v>
      </c>
      <c r="P9" s="18" t="s">
        <v>651</v>
      </c>
      <c r="Q9" s="18" t="s">
        <v>461</v>
      </c>
      <c r="R9" s="18" t="s">
        <v>652</v>
      </c>
      <c r="S9" s="167"/>
      <c r="U9" s="7">
        <v>5</v>
      </c>
      <c r="V9" s="66" t="s">
        <v>653</v>
      </c>
      <c r="W9" s="52" t="s">
        <v>654</v>
      </c>
      <c r="Y9" s="53">
        <v>101001</v>
      </c>
      <c r="Z9" s="54" t="s">
        <v>655</v>
      </c>
      <c r="AA9" s="55"/>
    </row>
    <row r="10" spans="1:27">
      <c r="A10" s="18">
        <v>1</v>
      </c>
      <c r="B10" s="18" t="s">
        <v>656</v>
      </c>
      <c r="C10" s="18" t="s">
        <v>594</v>
      </c>
      <c r="D10" s="18" t="s">
        <v>657</v>
      </c>
      <c r="E10" s="18" t="s">
        <v>658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1"/>
        <v>A:2,72 x C:4,56 x L:2,50-3,30 x P:5.600kg</v>
      </c>
      <c r="L10" s="167"/>
      <c r="N10" s="18" t="str">
        <f t="shared" si="0"/>
        <v>030712609</v>
      </c>
      <c r="O10" s="23">
        <v>30712609000154</v>
      </c>
      <c r="P10" s="18" t="s">
        <v>659</v>
      </c>
      <c r="Q10" s="18" t="s">
        <v>660</v>
      </c>
      <c r="R10" s="18" t="s">
        <v>622</v>
      </c>
      <c r="S10" s="167"/>
      <c r="V10" s="8" t="s">
        <v>661</v>
      </c>
      <c r="Y10" s="53">
        <v>105001</v>
      </c>
      <c r="Z10" s="54" t="s">
        <v>662</v>
      </c>
      <c r="AA10" s="55"/>
    </row>
    <row r="11" spans="1:27">
      <c r="A11" s="18">
        <v>1</v>
      </c>
      <c r="B11" s="18" t="s">
        <v>656</v>
      </c>
      <c r="C11" s="18" t="s">
        <v>594</v>
      </c>
      <c r="D11" s="18" t="s">
        <v>663</v>
      </c>
      <c r="E11" s="18" t="s">
        <v>664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1"/>
        <v>A:2,72 x C:4,56 x L:2,60-3,30 x P:6.300kg</v>
      </c>
      <c r="L11" s="167"/>
      <c r="N11" s="18" t="str">
        <f t="shared" si="0"/>
        <v>018492099</v>
      </c>
      <c r="O11" s="23">
        <v>18492099000151</v>
      </c>
      <c r="P11" s="18" t="s">
        <v>665</v>
      </c>
      <c r="Q11" s="18" t="s">
        <v>666</v>
      </c>
      <c r="R11" s="18" t="s">
        <v>667</v>
      </c>
      <c r="S11" s="167"/>
      <c r="U11" s="7">
        <v>6</v>
      </c>
      <c r="V11" s="66" t="s">
        <v>668</v>
      </c>
      <c r="W11" s="52" t="s">
        <v>669</v>
      </c>
      <c r="Y11" s="53">
        <v>105003</v>
      </c>
      <c r="Z11" s="54" t="s">
        <v>670</v>
      </c>
      <c r="AA11" s="55"/>
    </row>
    <row r="12" spans="1:27">
      <c r="A12" s="18">
        <v>1</v>
      </c>
      <c r="B12" s="18" t="s">
        <v>656</v>
      </c>
      <c r="C12" s="18" t="s">
        <v>594</v>
      </c>
      <c r="D12" s="18" t="s">
        <v>671</v>
      </c>
      <c r="E12" s="18" t="s">
        <v>672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1"/>
        <v>A:2,72 x C:4,56 x L:2,70-3,35 x P:6.800kg</v>
      </c>
      <c r="L12" s="167"/>
      <c r="N12" s="18" t="str">
        <f t="shared" si="0"/>
        <v>038052835</v>
      </c>
      <c r="O12" s="23">
        <v>38052835000168</v>
      </c>
      <c r="P12" s="18" t="s">
        <v>673</v>
      </c>
      <c r="Q12" s="18" t="s">
        <v>674</v>
      </c>
      <c r="R12" s="18" t="s">
        <v>599</v>
      </c>
      <c r="S12" s="167"/>
      <c r="V12" s="8" t="s">
        <v>675</v>
      </c>
      <c r="Y12" s="53">
        <v>110002</v>
      </c>
      <c r="Z12" s="54" t="s">
        <v>676</v>
      </c>
      <c r="AA12" s="55"/>
    </row>
    <row r="13" spans="1:27">
      <c r="A13" s="18">
        <v>1</v>
      </c>
      <c r="B13" s="18" t="s">
        <v>656</v>
      </c>
      <c r="C13" s="18" t="s">
        <v>594</v>
      </c>
      <c r="D13" s="18" t="s">
        <v>677</v>
      </c>
      <c r="E13" s="18" t="s">
        <v>678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1"/>
        <v>A:2,74 x C:4,92 x L:2,87-3,45 x P:7.200kg</v>
      </c>
      <c r="L13" s="167"/>
      <c r="N13" s="18" t="str">
        <f t="shared" si="0"/>
        <v>055246903</v>
      </c>
      <c r="O13" s="23">
        <v>55246903000149</v>
      </c>
      <c r="P13" s="18" t="s">
        <v>679</v>
      </c>
      <c r="Q13" s="18" t="s">
        <v>680</v>
      </c>
      <c r="R13" s="18" t="s">
        <v>681</v>
      </c>
      <c r="S13" s="167"/>
      <c r="U13" s="7">
        <v>7</v>
      </c>
      <c r="V13" s="66" t="s">
        <v>682</v>
      </c>
      <c r="W13" s="52" t="s">
        <v>683</v>
      </c>
      <c r="Y13" s="53">
        <v>101003</v>
      </c>
      <c r="Z13" s="54" t="s">
        <v>684</v>
      </c>
      <c r="AA13" s="55"/>
    </row>
    <row r="14" spans="1:27">
      <c r="A14" s="18">
        <v>1</v>
      </c>
      <c r="B14" s="18" t="s">
        <v>656</v>
      </c>
      <c r="C14" s="18" t="s">
        <v>594</v>
      </c>
      <c r="D14" s="18" t="s">
        <v>677</v>
      </c>
      <c r="E14" s="18" t="s">
        <v>685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1"/>
        <v>A:2,28 x C:4,56 x L:2,87-3,45 x P:7.500kg</v>
      </c>
      <c r="L14" s="167"/>
      <c r="N14" s="18" t="str">
        <f t="shared" si="0"/>
        <v>006208105</v>
      </c>
      <c r="O14" s="23">
        <v>6208105001431</v>
      </c>
      <c r="P14" s="18" t="s">
        <v>686</v>
      </c>
      <c r="Q14" s="18" t="s">
        <v>687</v>
      </c>
      <c r="R14" s="18" t="s">
        <v>688</v>
      </c>
      <c r="S14" s="167"/>
      <c r="V14" s="8" t="s">
        <v>689</v>
      </c>
      <c r="Y14" s="53">
        <v>115004</v>
      </c>
      <c r="Z14" s="54" t="s">
        <v>690</v>
      </c>
      <c r="AA14" s="55"/>
    </row>
    <row r="15" spans="1:27">
      <c r="A15" s="18">
        <v>1</v>
      </c>
      <c r="B15" s="18" t="s">
        <v>656</v>
      </c>
      <c r="C15" s="18" t="s">
        <v>594</v>
      </c>
      <c r="D15" s="18" t="s">
        <v>691</v>
      </c>
      <c r="E15" s="18" t="s">
        <v>692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1"/>
        <v>A:2,86 x C:4,96 x L:2,70-3,30 x P:7.800kg</v>
      </c>
      <c r="L15" s="167"/>
      <c r="N15" s="18" t="str">
        <f t="shared" si="0"/>
        <v>006208105</v>
      </c>
      <c r="O15" s="23">
        <v>6208105000117</v>
      </c>
      <c r="P15" s="18" t="s">
        <v>693</v>
      </c>
      <c r="Q15" s="18" t="s">
        <v>687</v>
      </c>
      <c r="R15" s="18" t="s">
        <v>694</v>
      </c>
      <c r="S15" s="167"/>
      <c r="U15" s="7">
        <v>8</v>
      </c>
      <c r="V15" s="66" t="s">
        <v>695</v>
      </c>
      <c r="W15" s="52" t="s">
        <v>696</v>
      </c>
      <c r="Y15" s="53">
        <v>120007</v>
      </c>
      <c r="Z15" s="58" t="s">
        <v>697</v>
      </c>
      <c r="AA15" s="59"/>
    </row>
    <row r="16" spans="1:27">
      <c r="A16" s="18">
        <v>1</v>
      </c>
      <c r="B16" s="18" t="s">
        <v>656</v>
      </c>
      <c r="C16" s="18" t="s">
        <v>594</v>
      </c>
      <c r="D16" s="18" t="s">
        <v>691</v>
      </c>
      <c r="E16" s="18" t="s">
        <v>698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1"/>
        <v>A:2,93 x C:4,65 x L:2,70-3,30 x P:8.500kg</v>
      </c>
      <c r="L16" s="167"/>
      <c r="N16" s="18" t="str">
        <f t="shared" si="0"/>
        <v>006208105</v>
      </c>
      <c r="O16" s="23">
        <v>6208105001008</v>
      </c>
      <c r="P16" s="18" t="s">
        <v>699</v>
      </c>
      <c r="Q16" s="18" t="s">
        <v>687</v>
      </c>
      <c r="R16" s="18" t="s">
        <v>700</v>
      </c>
      <c r="S16" s="167"/>
      <c r="V16" s="8" t="s">
        <v>701</v>
      </c>
      <c r="Y16" s="53">
        <v>120006</v>
      </c>
      <c r="Z16" s="58" t="s">
        <v>702</v>
      </c>
      <c r="AA16" s="59"/>
    </row>
    <row r="17" spans="1:27">
      <c r="A17" s="18">
        <v>1</v>
      </c>
      <c r="B17" s="18" t="s">
        <v>656</v>
      </c>
      <c r="C17" s="18" t="s">
        <v>594</v>
      </c>
      <c r="D17" s="18" t="s">
        <v>703</v>
      </c>
      <c r="E17" s="18" t="s">
        <v>704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1"/>
        <v>A:2,93 x C:5,42 x L:2,74-3,40 x P:8.500kg</v>
      </c>
      <c r="L17" s="167"/>
      <c r="N17" s="18" t="str">
        <f t="shared" si="0"/>
        <v>006208105</v>
      </c>
      <c r="O17" s="23">
        <v>6208105000206</v>
      </c>
      <c r="P17" s="18" t="s">
        <v>705</v>
      </c>
      <c r="Q17" s="18" t="s">
        <v>687</v>
      </c>
      <c r="R17" s="18" t="s">
        <v>706</v>
      </c>
      <c r="S17" s="167"/>
      <c r="V17" s="7"/>
      <c r="W17" s="52" t="s">
        <v>707</v>
      </c>
      <c r="Y17" s="67" t="s">
        <v>708</v>
      </c>
      <c r="Z17" s="68" t="s">
        <v>709</v>
      </c>
      <c r="AA17" s="57"/>
    </row>
    <row r="18" spans="1:27">
      <c r="A18" s="18">
        <v>1</v>
      </c>
      <c r="B18" s="18" t="s">
        <v>656</v>
      </c>
      <c r="C18" s="18" t="s">
        <v>594</v>
      </c>
      <c r="D18" s="18" t="s">
        <v>703</v>
      </c>
      <c r="E18" s="18" t="s">
        <v>710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1"/>
        <v>A:3,30 x C:5,24 x L:2,74-3,40 x P:9.550kg</v>
      </c>
      <c r="L18" s="167"/>
      <c r="N18" s="18" t="str">
        <f t="shared" si="0"/>
        <v>006208105</v>
      </c>
      <c r="O18" s="23">
        <v>6208105000389</v>
      </c>
      <c r="P18" s="18" t="s">
        <v>711</v>
      </c>
      <c r="Q18" s="18" t="s">
        <v>687</v>
      </c>
      <c r="R18" s="18" t="s">
        <v>712</v>
      </c>
      <c r="S18" s="167"/>
      <c r="V18" s="7"/>
      <c r="W18" s="52" t="s">
        <v>713</v>
      </c>
      <c r="Y18" s="54" t="s">
        <v>714</v>
      </c>
      <c r="Z18" s="60" t="s">
        <v>715</v>
      </c>
      <c r="AA18" s="56" t="s">
        <v>716</v>
      </c>
    </row>
    <row r="19" spans="1:27">
      <c r="A19" s="18">
        <v>1</v>
      </c>
      <c r="B19" s="18" t="s">
        <v>656</v>
      </c>
      <c r="C19" s="18" t="s">
        <v>594</v>
      </c>
      <c r="D19" s="18" t="s">
        <v>717</v>
      </c>
      <c r="E19" s="18" t="s">
        <v>718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1"/>
        <v>A:2,98 x C:5,42 x L:2,95-3,60 x P:9.800kg</v>
      </c>
      <c r="L19" s="167"/>
      <c r="N19" s="18" t="str">
        <f t="shared" si="0"/>
        <v>006208105</v>
      </c>
      <c r="O19" s="23">
        <v>6208105000540</v>
      </c>
      <c r="P19" s="18" t="s">
        <v>719</v>
      </c>
      <c r="Q19" s="18" t="s">
        <v>687</v>
      </c>
      <c r="R19" s="18" t="s">
        <v>720</v>
      </c>
      <c r="S19" s="167"/>
      <c r="V19" s="7"/>
      <c r="Y19" s="54" t="s">
        <v>721</v>
      </c>
      <c r="Z19" s="60" t="s">
        <v>722</v>
      </c>
      <c r="AA19" s="56" t="s">
        <v>723</v>
      </c>
    </row>
    <row r="20" spans="1:27">
      <c r="A20" s="18">
        <v>1</v>
      </c>
      <c r="B20" s="18" t="s">
        <v>656</v>
      </c>
      <c r="C20" s="18" t="s">
        <v>594</v>
      </c>
      <c r="D20" s="18" t="s">
        <v>717</v>
      </c>
      <c r="E20" s="18" t="s">
        <v>724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1"/>
        <v>A:3,30 x C:5,24 x L:2,95-3,60 x P:10.650kg</v>
      </c>
      <c r="L20" s="167"/>
      <c r="N20" s="18" t="str">
        <f t="shared" si="0"/>
        <v>006208105</v>
      </c>
      <c r="O20" s="23">
        <v>6208105001199</v>
      </c>
      <c r="P20" s="18" t="s">
        <v>699</v>
      </c>
      <c r="Q20" s="18" t="s">
        <v>687</v>
      </c>
      <c r="R20" s="18" t="s">
        <v>725</v>
      </c>
      <c r="S20" s="167"/>
      <c r="V20" s="17" t="s">
        <v>726</v>
      </c>
      <c r="Y20" s="69" t="s">
        <v>15</v>
      </c>
      <c r="Z20" s="69" t="s">
        <v>727</v>
      </c>
      <c r="AA20" s="57"/>
    </row>
    <row r="21" spans="1:27">
      <c r="A21" s="18">
        <v>1</v>
      </c>
      <c r="B21" s="18" t="s">
        <v>656</v>
      </c>
      <c r="C21" s="18" t="s">
        <v>594</v>
      </c>
      <c r="D21" s="18" t="s">
        <v>728</v>
      </c>
      <c r="E21" s="18" t="s">
        <v>729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1"/>
        <v>A:2,93 x C:5,42 x L:2,92-3,60 x P:11.000kg</v>
      </c>
      <c r="N21" s="18" t="str">
        <f t="shared" si="0"/>
        <v>006208105</v>
      </c>
      <c r="O21" s="23">
        <v>6208105000621</v>
      </c>
      <c r="P21" s="18" t="s">
        <v>730</v>
      </c>
      <c r="Q21" s="18" t="s">
        <v>687</v>
      </c>
      <c r="R21" s="18" t="s">
        <v>731</v>
      </c>
      <c r="V21" s="18" t="s">
        <v>732</v>
      </c>
      <c r="Y21" s="61" t="s">
        <v>733</v>
      </c>
      <c r="Z21" s="61" t="s">
        <v>734</v>
      </c>
      <c r="AA21" s="62"/>
    </row>
    <row r="22" spans="1:27">
      <c r="A22" s="18">
        <v>1</v>
      </c>
      <c r="B22" s="18" t="s">
        <v>656</v>
      </c>
      <c r="C22" s="18" t="s">
        <v>594</v>
      </c>
      <c r="D22" s="18" t="s">
        <v>728</v>
      </c>
      <c r="E22" s="18" t="s">
        <v>735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1"/>
        <v>A:3,31 x C:5,02 x L:2,92-3,60 x P:11.750kg</v>
      </c>
      <c r="N22" s="18" t="str">
        <f t="shared" si="0"/>
        <v>006208105</v>
      </c>
      <c r="O22" s="23">
        <v>6208105000460</v>
      </c>
      <c r="P22" s="18" t="s">
        <v>705</v>
      </c>
      <c r="Q22" s="18" t="s">
        <v>687</v>
      </c>
      <c r="R22" s="18" t="s">
        <v>736</v>
      </c>
      <c r="V22" s="18" t="s">
        <v>737</v>
      </c>
      <c r="W22" s="7"/>
      <c r="Y22" s="61" t="s">
        <v>738</v>
      </c>
      <c r="Z22" s="61" t="s">
        <v>739</v>
      </c>
      <c r="AA22" s="62"/>
    </row>
    <row r="23" spans="1:27">
      <c r="A23" s="18">
        <v>1</v>
      </c>
      <c r="B23" s="18" t="s">
        <v>740</v>
      </c>
      <c r="C23" s="18" t="s">
        <v>594</v>
      </c>
      <c r="D23" s="18" t="s">
        <v>741</v>
      </c>
      <c r="E23" s="18" t="s">
        <v>742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1"/>
        <v>A:3,17 x C:5,82 x L:2,43-3,00 x P:11.400kg</v>
      </c>
      <c r="N23" s="18" t="str">
        <f t="shared" si="0"/>
        <v>006208105</v>
      </c>
      <c r="O23" s="23">
        <v>6208105001512</v>
      </c>
      <c r="P23" s="18" t="s">
        <v>743</v>
      </c>
      <c r="Q23" s="18" t="s">
        <v>687</v>
      </c>
      <c r="R23" s="18" t="s">
        <v>744</v>
      </c>
      <c r="V23" s="18" t="s">
        <v>745</v>
      </c>
      <c r="W23" s="7"/>
      <c r="Y23" s="61" t="s">
        <v>746</v>
      </c>
      <c r="Z23" s="61" t="s">
        <v>747</v>
      </c>
      <c r="AA23" s="62"/>
    </row>
    <row r="24" spans="1:27">
      <c r="A24" s="18">
        <v>1</v>
      </c>
      <c r="B24" s="18" t="s">
        <v>740</v>
      </c>
      <c r="C24" s="18" t="s">
        <v>594</v>
      </c>
      <c r="D24" s="18" t="s">
        <v>748</v>
      </c>
      <c r="E24" s="18" t="s">
        <v>749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1"/>
        <v>A:3,17 x C:5,82 x L:2,43-3,00 x P:11.800kg</v>
      </c>
      <c r="N24" s="18" t="str">
        <f t="shared" si="0"/>
        <v>017489822</v>
      </c>
      <c r="O24" s="23">
        <v>17489822000180</v>
      </c>
      <c r="P24" s="18" t="s">
        <v>750</v>
      </c>
      <c r="Q24" s="18" t="s">
        <v>751</v>
      </c>
      <c r="R24" s="18" t="s">
        <v>599</v>
      </c>
      <c r="V24" s="18" t="s">
        <v>752</v>
      </c>
      <c r="W24" s="7"/>
    </row>
    <row r="25" spans="1:27">
      <c r="A25" s="18">
        <v>1</v>
      </c>
      <c r="B25" s="18" t="s">
        <v>740</v>
      </c>
      <c r="C25" s="18" t="s">
        <v>594</v>
      </c>
      <c r="D25" s="18" t="s">
        <v>753</v>
      </c>
      <c r="E25" s="18" t="s">
        <v>754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1"/>
        <v>A:3,17 x C:5,82 x L:2,43-3,00 x P:12.650kg</v>
      </c>
      <c r="N25" s="18" t="str">
        <f t="shared" si="0"/>
        <v>037969440</v>
      </c>
      <c r="O25" s="23">
        <v>37969440000161</v>
      </c>
      <c r="P25" s="18" t="s">
        <v>755</v>
      </c>
      <c r="Q25" s="18" t="s">
        <v>518</v>
      </c>
      <c r="R25" s="18" t="s">
        <v>599</v>
      </c>
      <c r="V25" s="18" t="s">
        <v>756</v>
      </c>
      <c r="W25" s="7"/>
    </row>
    <row r="26" spans="1:27" ht="14.45" customHeight="1">
      <c r="A26" s="18">
        <v>1</v>
      </c>
      <c r="B26" s="18" t="s">
        <v>757</v>
      </c>
      <c r="C26" s="18" t="s">
        <v>594</v>
      </c>
      <c r="D26" s="18" t="s">
        <v>758</v>
      </c>
      <c r="E26" s="18" t="s">
        <v>759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1"/>
        <v>A:3,30 x C:6,04 x L:2,45-3,30 x P:13.325kg</v>
      </c>
      <c r="N26" s="18" t="str">
        <f t="shared" si="0"/>
        <v>080645922</v>
      </c>
      <c r="O26" s="23">
        <v>80645922000276</v>
      </c>
      <c r="P26" s="18" t="s">
        <v>760</v>
      </c>
      <c r="Q26" s="18" t="s">
        <v>761</v>
      </c>
      <c r="R26" s="18" t="s">
        <v>762</v>
      </c>
      <c r="V26" s="18" t="s">
        <v>763</v>
      </c>
      <c r="W26" s="7"/>
      <c r="Y26" s="168" t="s">
        <v>764</v>
      </c>
      <c r="Z26" s="168"/>
      <c r="AA26" s="168"/>
    </row>
    <row r="27" spans="1:27">
      <c r="A27" s="18">
        <v>1</v>
      </c>
      <c r="B27" s="18" t="s">
        <v>757</v>
      </c>
      <c r="C27" s="18" t="s">
        <v>594</v>
      </c>
      <c r="D27" s="18" t="s">
        <v>765</v>
      </c>
      <c r="E27" s="18" t="s">
        <v>766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1"/>
        <v>A:3,30 x C:6,04 x L:2,45-3,30 x P:14.700kg</v>
      </c>
      <c r="N27" s="18" t="str">
        <f t="shared" si="0"/>
        <v>045428882</v>
      </c>
      <c r="O27" s="23">
        <v>45428882000129</v>
      </c>
      <c r="P27" s="18" t="s">
        <v>767</v>
      </c>
      <c r="Q27" s="18" t="s">
        <v>768</v>
      </c>
      <c r="R27" s="18" t="s">
        <v>631</v>
      </c>
      <c r="V27" s="18" t="s">
        <v>769</v>
      </c>
      <c r="W27" s="7"/>
      <c r="Y27" s="70" t="s">
        <v>770</v>
      </c>
      <c r="Z27" s="70" t="s">
        <v>771</v>
      </c>
      <c r="AA27" s="70" t="s">
        <v>772</v>
      </c>
    </row>
    <row r="28" spans="1:27">
      <c r="A28" s="18">
        <v>1</v>
      </c>
      <c r="B28" s="18" t="s">
        <v>757</v>
      </c>
      <c r="C28" s="18" t="s">
        <v>594</v>
      </c>
      <c r="D28" s="18" t="s">
        <v>773</v>
      </c>
      <c r="E28" s="18" t="s">
        <v>774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1"/>
        <v>A:3,30 x C:6,04 x L:2,45-3,30 x P:16.192kg</v>
      </c>
      <c r="N28" s="18" t="str">
        <f t="shared" si="0"/>
        <v>043196595</v>
      </c>
      <c r="O28" s="23">
        <v>43196595000105</v>
      </c>
      <c r="P28" s="18" t="s">
        <v>775</v>
      </c>
      <c r="Q28" s="18" t="s">
        <v>776</v>
      </c>
      <c r="R28" s="18" t="s">
        <v>607</v>
      </c>
      <c r="V28" s="18" t="s">
        <v>777</v>
      </c>
      <c r="W28" s="7"/>
      <c r="Y28" s="64" t="s">
        <v>421</v>
      </c>
      <c r="Z28" s="63" t="s">
        <v>46</v>
      </c>
      <c r="AA28" s="63" t="s">
        <v>778</v>
      </c>
    </row>
    <row r="29" spans="1:27">
      <c r="A29" s="18">
        <v>1</v>
      </c>
      <c r="B29" s="18" t="s">
        <v>757</v>
      </c>
      <c r="C29" s="18" t="s">
        <v>594</v>
      </c>
      <c r="D29" s="18" t="s">
        <v>779</v>
      </c>
      <c r="E29" s="18" t="s">
        <v>780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1"/>
        <v>A:3,30 x C:6,04 x L:2,45-3,30 x P:17.600kg</v>
      </c>
      <c r="N29" s="18" t="str">
        <f t="shared" si="0"/>
        <v>061234985</v>
      </c>
      <c r="O29" s="23">
        <v>61234985014164</v>
      </c>
      <c r="P29" s="18" t="s">
        <v>781</v>
      </c>
      <c r="Q29" s="18" t="s">
        <v>782</v>
      </c>
      <c r="R29" s="18" t="s">
        <v>783</v>
      </c>
      <c r="V29" s="18" t="s">
        <v>784</v>
      </c>
      <c r="W29" s="7"/>
      <c r="Y29" s="64" t="s">
        <v>142</v>
      </c>
      <c r="Z29" s="63" t="s">
        <v>785</v>
      </c>
      <c r="AA29" s="63" t="s">
        <v>786</v>
      </c>
    </row>
    <row r="30" spans="1:27">
      <c r="A30" s="18">
        <v>1</v>
      </c>
      <c r="B30" s="18" t="s">
        <v>757</v>
      </c>
      <c r="C30" s="18" t="s">
        <v>594</v>
      </c>
      <c r="D30" s="18" t="s">
        <v>787</v>
      </c>
      <c r="E30" s="18" t="s">
        <v>788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1"/>
        <v>A:3,30 x C:6,04 x L:2,45-3,30 x P:18.000kg</v>
      </c>
      <c r="N30" s="18" t="str">
        <f t="shared" si="0"/>
        <v>061234985</v>
      </c>
      <c r="O30" s="23">
        <v>61234985000961</v>
      </c>
      <c r="P30" s="18" t="s">
        <v>781</v>
      </c>
      <c r="Q30" s="18" t="s">
        <v>782</v>
      </c>
      <c r="R30" s="18" t="s">
        <v>789</v>
      </c>
      <c r="V30" s="18" t="s">
        <v>790</v>
      </c>
      <c r="W30" s="7"/>
      <c r="Y30" s="64" t="s">
        <v>148</v>
      </c>
      <c r="Z30" s="63" t="s">
        <v>791</v>
      </c>
      <c r="AA30" s="63" t="s">
        <v>792</v>
      </c>
    </row>
    <row r="31" spans="1:27">
      <c r="A31" s="18">
        <v>1</v>
      </c>
      <c r="B31" s="18" t="s">
        <v>757</v>
      </c>
      <c r="C31" s="18" t="s">
        <v>594</v>
      </c>
      <c r="D31" s="18" t="s">
        <v>793</v>
      </c>
      <c r="E31" s="18" t="s">
        <v>794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1"/>
        <v>A:3,30 x C:6,04 x L:2,45-3,30 x P:18.000kg</v>
      </c>
      <c r="N31" s="18" t="str">
        <f t="shared" si="0"/>
        <v>061234985</v>
      </c>
      <c r="O31" s="23">
        <v>61234985015993</v>
      </c>
      <c r="P31" s="18" t="s">
        <v>781</v>
      </c>
      <c r="Q31" s="18" t="s">
        <v>782</v>
      </c>
      <c r="R31" s="18" t="s">
        <v>725</v>
      </c>
      <c r="V31" s="18" t="s">
        <v>795</v>
      </c>
      <c r="W31" s="7"/>
      <c r="Y31" s="64" t="s">
        <v>144</v>
      </c>
      <c r="Z31" s="63" t="s">
        <v>796</v>
      </c>
      <c r="AA31" s="63" t="s">
        <v>797</v>
      </c>
    </row>
    <row r="32" spans="1:27">
      <c r="A32" s="18">
        <v>1</v>
      </c>
      <c r="B32" s="18" t="s">
        <v>757</v>
      </c>
      <c r="C32" s="18" t="s">
        <v>594</v>
      </c>
      <c r="D32" s="18" t="s">
        <v>798</v>
      </c>
      <c r="E32" s="18" t="s">
        <v>799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1"/>
        <v>A:3,30 x C:6,04 x L:2,45-3,30 x P:18.000kg</v>
      </c>
      <c r="N32" s="18" t="str">
        <f t="shared" si="0"/>
        <v>061234985</v>
      </c>
      <c r="O32" s="23">
        <v>61234985015306</v>
      </c>
      <c r="P32" s="18" t="s">
        <v>781</v>
      </c>
      <c r="Q32" s="18" t="s">
        <v>782</v>
      </c>
      <c r="R32" s="18" t="s">
        <v>631</v>
      </c>
      <c r="V32" s="18" t="s">
        <v>800</v>
      </c>
      <c r="W32" s="7"/>
      <c r="Y32" s="64" t="s">
        <v>151</v>
      </c>
      <c r="Z32" s="63" t="s">
        <v>801</v>
      </c>
      <c r="AA32" s="63" t="s">
        <v>802</v>
      </c>
    </row>
    <row r="33" spans="1:27">
      <c r="A33" s="18">
        <v>1</v>
      </c>
      <c r="B33" s="18" t="s">
        <v>803</v>
      </c>
      <c r="C33" s="18" t="s">
        <v>594</v>
      </c>
      <c r="D33" s="18" t="s">
        <v>804</v>
      </c>
      <c r="E33" s="18" t="s">
        <v>804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1"/>
        <v>A:3,98 x C:8,43 x L:3,05-4,30 x P:20.856kg</v>
      </c>
      <c r="N33" s="18" t="str">
        <f t="shared" si="0"/>
        <v>061234985</v>
      </c>
      <c r="O33" s="23">
        <v>61234985015560</v>
      </c>
      <c r="P33" s="18" t="s">
        <v>781</v>
      </c>
      <c r="Q33" s="18" t="s">
        <v>782</v>
      </c>
      <c r="R33" s="18" t="s">
        <v>599</v>
      </c>
      <c r="V33" s="18" t="s">
        <v>805</v>
      </c>
      <c r="W33" s="7"/>
      <c r="Y33" s="64" t="s">
        <v>806</v>
      </c>
      <c r="Z33" s="63" t="s">
        <v>807</v>
      </c>
      <c r="AA33" s="63" t="s">
        <v>808</v>
      </c>
    </row>
    <row r="34" spans="1:27">
      <c r="A34" s="18">
        <v>1</v>
      </c>
      <c r="B34" s="18" t="s">
        <v>803</v>
      </c>
      <c r="C34" s="18" t="s">
        <v>594</v>
      </c>
      <c r="D34" s="18" t="s">
        <v>809</v>
      </c>
      <c r="E34" s="18" t="s">
        <v>809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1"/>
        <v>A:3,98 x C:8,43 x L:3,05-4,30 x P:20.856kg</v>
      </c>
      <c r="N34" s="18" t="str">
        <f t="shared" si="0"/>
        <v>061234985</v>
      </c>
      <c r="O34" s="23">
        <v>61234985012544</v>
      </c>
      <c r="P34" s="18" t="s">
        <v>781</v>
      </c>
      <c r="Q34" s="18" t="s">
        <v>782</v>
      </c>
      <c r="R34" s="18" t="s">
        <v>810</v>
      </c>
      <c r="V34" s="65" t="s">
        <v>811</v>
      </c>
      <c r="W34" s="7"/>
      <c r="Y34" s="64" t="s">
        <v>812</v>
      </c>
      <c r="Z34" s="63" t="s">
        <v>813</v>
      </c>
      <c r="AA34" s="63" t="s">
        <v>814</v>
      </c>
    </row>
    <row r="35" spans="1:27">
      <c r="A35" s="18">
        <v>1</v>
      </c>
      <c r="B35" s="18" t="s">
        <v>803</v>
      </c>
      <c r="C35" s="18" t="s">
        <v>594</v>
      </c>
      <c r="D35" s="18" t="s">
        <v>815</v>
      </c>
      <c r="E35" s="18" t="s">
        <v>815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1"/>
        <v>A:3,98 x C:8,43 x L:3,05-4,30 x P:20.856kg</v>
      </c>
      <c r="N35" s="18" t="str">
        <f t="shared" si="0"/>
        <v>056953013</v>
      </c>
      <c r="O35" s="23">
        <v>56953013000130</v>
      </c>
      <c r="P35" s="18" t="s">
        <v>816</v>
      </c>
      <c r="Q35" s="18" t="s">
        <v>530</v>
      </c>
      <c r="R35" s="18" t="s">
        <v>725</v>
      </c>
      <c r="V35" s="65" t="s">
        <v>817</v>
      </c>
      <c r="W35" s="7"/>
      <c r="Y35" s="64" t="s">
        <v>146</v>
      </c>
      <c r="Z35" s="63" t="s">
        <v>818</v>
      </c>
      <c r="AA35" s="63" t="s">
        <v>819</v>
      </c>
    </row>
    <row r="36" spans="1:27">
      <c r="A36" s="18">
        <v>1</v>
      </c>
      <c r="B36" s="18" t="s">
        <v>803</v>
      </c>
      <c r="C36" s="18" t="s">
        <v>594</v>
      </c>
      <c r="D36" s="18" t="s">
        <v>820</v>
      </c>
      <c r="E36" s="18" t="s">
        <v>820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1"/>
        <v>A:3,98 x C:8,43 x L:3,05-4,30 x P:20.856kg</v>
      </c>
      <c r="N36" s="18" t="str">
        <f t="shared" si="0"/>
        <v>056953013</v>
      </c>
      <c r="O36" s="23">
        <v>56953013000130</v>
      </c>
      <c r="P36" s="18" t="s">
        <v>816</v>
      </c>
      <c r="Q36" s="18" t="s">
        <v>530</v>
      </c>
      <c r="R36" s="18" t="s">
        <v>725</v>
      </c>
      <c r="V36" s="65" t="s">
        <v>821</v>
      </c>
      <c r="W36" s="7"/>
    </row>
    <row r="37" spans="1:27">
      <c r="A37" s="18">
        <v>1</v>
      </c>
      <c r="B37" s="18" t="s">
        <v>803</v>
      </c>
      <c r="C37" s="18" t="s">
        <v>594</v>
      </c>
      <c r="D37" s="18" t="s">
        <v>822</v>
      </c>
      <c r="E37" s="18" t="s">
        <v>822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1"/>
        <v>A:3,98 x C:8,43 x L:3,05-4,30 x P:21.174kg</v>
      </c>
      <c r="N37" s="18" t="str">
        <f t="shared" si="0"/>
        <v>000472957</v>
      </c>
      <c r="O37" s="23">
        <v>472957000300</v>
      </c>
      <c r="P37" s="18" t="s">
        <v>823</v>
      </c>
      <c r="Q37" s="18" t="s">
        <v>824</v>
      </c>
      <c r="R37" s="18" t="s">
        <v>825</v>
      </c>
      <c r="V37" s="65" t="s">
        <v>826</v>
      </c>
      <c r="W37" s="7"/>
    </row>
    <row r="38" spans="1:27">
      <c r="A38" s="18">
        <v>1</v>
      </c>
      <c r="B38" s="18" t="s">
        <v>803</v>
      </c>
      <c r="C38" s="18" t="s">
        <v>594</v>
      </c>
      <c r="D38" s="18" t="s">
        <v>827</v>
      </c>
      <c r="E38" s="18" t="s">
        <v>827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1"/>
        <v>A:3,71 x C:8,55 x L:3,05-3,96 x P:25.546kg</v>
      </c>
      <c r="N38" s="18" t="str">
        <f t="shared" si="0"/>
        <v>000472957</v>
      </c>
      <c r="O38" s="23">
        <v>472957000130</v>
      </c>
      <c r="P38" s="18" t="s">
        <v>823</v>
      </c>
      <c r="Q38" s="18" t="s">
        <v>824</v>
      </c>
      <c r="R38" s="18" t="s">
        <v>599</v>
      </c>
      <c r="V38" s="7"/>
      <c r="W38" s="7"/>
      <c r="Z38" s="7" t="s">
        <v>828</v>
      </c>
    </row>
    <row r="39" spans="1:27">
      <c r="A39" s="18">
        <v>1</v>
      </c>
      <c r="B39" s="18" t="s">
        <v>803</v>
      </c>
      <c r="C39" s="18" t="s">
        <v>594</v>
      </c>
      <c r="D39" s="18" t="s">
        <v>829</v>
      </c>
      <c r="E39" s="18" t="s">
        <v>829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1"/>
        <v>A:3,71 x C:8,71 x L:3,05-3,96 x P:25.546kg</v>
      </c>
      <c r="N39" s="18" t="str">
        <f t="shared" si="0"/>
        <v>000809068</v>
      </c>
      <c r="O39" s="23">
        <v>809068000116</v>
      </c>
      <c r="P39" s="18" t="s">
        <v>830</v>
      </c>
      <c r="Q39" s="18" t="s">
        <v>831</v>
      </c>
      <c r="R39" s="18" t="s">
        <v>832</v>
      </c>
      <c r="V39" s="7"/>
      <c r="W39" s="7"/>
    </row>
    <row r="40" spans="1:27">
      <c r="A40" s="18">
        <v>1</v>
      </c>
      <c r="B40" s="18" t="s">
        <v>803</v>
      </c>
      <c r="C40" s="18" t="s">
        <v>594</v>
      </c>
      <c r="D40" s="18" t="s">
        <v>833</v>
      </c>
      <c r="E40" s="18" t="s">
        <v>833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1"/>
        <v>A:3,71 x C:8,55 x L:3,05-3,96 x P:25.546kg</v>
      </c>
      <c r="N40" s="18" t="str">
        <f t="shared" si="0"/>
        <v>029866343</v>
      </c>
      <c r="O40" s="23">
        <v>29866343000115</v>
      </c>
      <c r="P40" s="18" t="s">
        <v>834</v>
      </c>
      <c r="Q40" s="18" t="s">
        <v>835</v>
      </c>
      <c r="R40" s="18" t="s">
        <v>836</v>
      </c>
      <c r="V40" s="7"/>
      <c r="W40" s="7"/>
    </row>
    <row r="41" spans="1:27">
      <c r="A41" s="18">
        <v>1</v>
      </c>
      <c r="B41" s="18" t="s">
        <v>803</v>
      </c>
      <c r="C41" s="18" t="s">
        <v>594</v>
      </c>
      <c r="D41" s="18" t="s">
        <v>837</v>
      </c>
      <c r="E41" s="18" t="s">
        <v>837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1"/>
        <v>A:3,78 x C:8,55 x L:3,05-3,96 x P:25.546kg</v>
      </c>
      <c r="N41" s="18" t="str">
        <f t="shared" si="0"/>
        <v>033144048</v>
      </c>
      <c r="O41" s="23">
        <v>33144048000122</v>
      </c>
      <c r="P41" s="18" t="s">
        <v>838</v>
      </c>
      <c r="Q41" s="18" t="s">
        <v>839</v>
      </c>
      <c r="R41" s="18" t="s">
        <v>840</v>
      </c>
      <c r="V41" s="7"/>
      <c r="W41" s="7"/>
    </row>
    <row r="42" spans="1:27">
      <c r="A42" s="18">
        <v>2</v>
      </c>
      <c r="B42" s="18" t="s">
        <v>138</v>
      </c>
      <c r="C42" s="18" t="s">
        <v>841</v>
      </c>
      <c r="D42" s="18" t="s">
        <v>842</v>
      </c>
      <c r="E42" s="18" t="s">
        <v>842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1"/>
        <v>A:4,10 x C:7,70 x L:3,70-4,10 x P:10.600kg</v>
      </c>
      <c r="N42" s="18" t="str">
        <f t="shared" si="0"/>
        <v>049138592</v>
      </c>
      <c r="O42" s="23">
        <v>49138592000100</v>
      </c>
      <c r="P42" s="18" t="s">
        <v>843</v>
      </c>
      <c r="Q42" s="18" t="s">
        <v>452</v>
      </c>
      <c r="R42" s="18" t="s">
        <v>599</v>
      </c>
      <c r="V42" s="7"/>
      <c r="W42" s="7"/>
    </row>
    <row r="43" spans="1:27">
      <c r="A43" s="18">
        <v>2</v>
      </c>
      <c r="B43" s="18" t="s">
        <v>138</v>
      </c>
      <c r="C43" s="18" t="s">
        <v>841</v>
      </c>
      <c r="D43" s="18" t="s">
        <v>844</v>
      </c>
      <c r="E43" s="18" t="s">
        <v>844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1"/>
        <v>A:4,10 x C:7,70 x L:3,40-4,10 x P:11.800kg</v>
      </c>
      <c r="N43" s="18" t="str">
        <f t="shared" si="0"/>
        <v>076669324</v>
      </c>
      <c r="O43" s="23">
        <v>76669324000189</v>
      </c>
      <c r="P43" s="18" t="s">
        <v>845</v>
      </c>
      <c r="Q43" s="18" t="s">
        <v>423</v>
      </c>
      <c r="R43" s="18" t="s">
        <v>725</v>
      </c>
      <c r="V43" s="7"/>
      <c r="W43" s="7"/>
    </row>
    <row r="44" spans="1:27">
      <c r="A44" s="18">
        <v>2</v>
      </c>
      <c r="B44" s="18" t="s">
        <v>138</v>
      </c>
      <c r="C44" s="18" t="s">
        <v>841</v>
      </c>
      <c r="D44" s="18" t="s">
        <v>846</v>
      </c>
      <c r="E44" s="18" t="s">
        <v>846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1"/>
        <v>A:4,10 x C:6,68 x L:3,20-3,30 x P:14.000kg</v>
      </c>
      <c r="N44" s="18" t="str">
        <f t="shared" si="0"/>
        <v>018252586</v>
      </c>
      <c r="O44" s="23">
        <v>18252586000147</v>
      </c>
      <c r="P44" s="18" t="s">
        <v>847</v>
      </c>
      <c r="Q44" s="18" t="s">
        <v>848</v>
      </c>
      <c r="R44" s="18" t="s">
        <v>849</v>
      </c>
      <c r="V44" s="7"/>
      <c r="W44" s="7"/>
    </row>
    <row r="45" spans="1:27">
      <c r="A45" s="18">
        <v>2</v>
      </c>
      <c r="B45" s="18" t="s">
        <v>138</v>
      </c>
      <c r="C45" s="18" t="s">
        <v>841</v>
      </c>
      <c r="D45" s="18" t="s">
        <v>850</v>
      </c>
      <c r="E45" s="18" t="s">
        <v>850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1"/>
        <v>A:3,80 x C:10,00 x L:3,70-4,20 x P:15.938kg</v>
      </c>
      <c r="N45" s="18" t="str">
        <f t="shared" si="0"/>
        <v>078206513</v>
      </c>
      <c r="O45" s="23">
        <v>78206513000140</v>
      </c>
      <c r="P45" s="18" t="s">
        <v>851</v>
      </c>
      <c r="Q45" s="18" t="s">
        <v>428</v>
      </c>
      <c r="R45" s="18" t="s">
        <v>725</v>
      </c>
      <c r="V45" s="7"/>
      <c r="W45" s="7"/>
    </row>
    <row r="46" spans="1:27">
      <c r="A46" s="18">
        <v>2</v>
      </c>
      <c r="B46" s="18" t="s">
        <v>138</v>
      </c>
      <c r="C46" s="18" t="s">
        <v>841</v>
      </c>
      <c r="D46" s="18" t="s">
        <v>852</v>
      </c>
      <c r="E46" s="18" t="s">
        <v>852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1"/>
        <v>A:3,98 x C:10,50 x L:3,40-5,20 x P:18.599kg</v>
      </c>
      <c r="N46" s="18" t="str">
        <f t="shared" si="0"/>
        <v>051308170</v>
      </c>
      <c r="O46" s="23">
        <v>51308170000179</v>
      </c>
      <c r="P46" s="18" t="s">
        <v>853</v>
      </c>
      <c r="Q46" s="18" t="s">
        <v>854</v>
      </c>
      <c r="R46" s="18" t="s">
        <v>825</v>
      </c>
      <c r="V46" s="7"/>
      <c r="W46" s="7"/>
    </row>
    <row r="47" spans="1:27">
      <c r="A47" s="18">
        <v>2</v>
      </c>
      <c r="B47" s="18" t="s">
        <v>138</v>
      </c>
      <c r="C47" s="18" t="s">
        <v>841</v>
      </c>
      <c r="D47" s="18" t="s">
        <v>855</v>
      </c>
      <c r="E47" s="18" t="s">
        <v>855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1"/>
        <v>A:3,98 x C:10,50 x L:3,40-5,20 x P:19.226kg</v>
      </c>
      <c r="N47" s="18" t="str">
        <f t="shared" si="0"/>
        <v>004892707</v>
      </c>
      <c r="O47" s="23">
        <v>4892707000100</v>
      </c>
      <c r="P47" s="18" t="s">
        <v>856</v>
      </c>
      <c r="Q47" s="18" t="s">
        <v>433</v>
      </c>
      <c r="R47" s="18" t="s">
        <v>857</v>
      </c>
      <c r="V47" s="7"/>
      <c r="W47" s="7"/>
    </row>
    <row r="48" spans="1:27">
      <c r="A48" s="18">
        <v>2</v>
      </c>
      <c r="B48" s="18" t="s">
        <v>138</v>
      </c>
      <c r="C48" s="18" t="s">
        <v>841</v>
      </c>
      <c r="D48" s="18" t="s">
        <v>858</v>
      </c>
      <c r="E48" s="18" t="s">
        <v>858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1"/>
        <v>A:3,98 x C:12,10 x L:3,50-5,43 x P:21.921kg</v>
      </c>
      <c r="N48" s="18" t="str">
        <f t="shared" si="0"/>
        <v>045137364</v>
      </c>
      <c r="O48" s="23">
        <v>45137364000156</v>
      </c>
      <c r="P48" s="18" t="s">
        <v>859</v>
      </c>
      <c r="Q48" s="18" t="s">
        <v>860</v>
      </c>
      <c r="R48" s="18" t="s">
        <v>599</v>
      </c>
      <c r="V48" s="7"/>
      <c r="W48" s="7"/>
    </row>
    <row r="49" spans="1:18">
      <c r="A49" s="18">
        <v>2</v>
      </c>
      <c r="B49" s="18" t="s">
        <v>138</v>
      </c>
      <c r="C49" s="18" t="s">
        <v>841</v>
      </c>
      <c r="D49" s="18" t="s">
        <v>861</v>
      </c>
      <c r="E49" s="18" t="s">
        <v>861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1"/>
        <v>A:3,98 x C:12,10 x L:3,50-5,43 x P:22.185kg</v>
      </c>
      <c r="N49" s="18" t="str">
        <f t="shared" si="0"/>
        <v>007516914</v>
      </c>
      <c r="O49" s="23">
        <v>7516914000159</v>
      </c>
      <c r="P49" s="18" t="s">
        <v>862</v>
      </c>
      <c r="Q49" s="18" t="s">
        <v>863</v>
      </c>
      <c r="R49" s="18"/>
    </row>
    <row r="50" spans="1:18">
      <c r="A50" s="18">
        <v>2</v>
      </c>
      <c r="B50" s="18" t="s">
        <v>138</v>
      </c>
      <c r="C50" s="18" t="s">
        <v>841</v>
      </c>
      <c r="D50" s="18" t="s">
        <v>864</v>
      </c>
      <c r="E50" s="18" t="s">
        <v>864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1"/>
        <v>A:4,00 x C:10,60 x L:3,50-5,20 x P:18.599kg</v>
      </c>
      <c r="N50" s="18" t="str">
        <f t="shared" si="0"/>
        <v>043197553</v>
      </c>
      <c r="O50" s="23">
        <v>43197553000199</v>
      </c>
      <c r="P50" s="18" t="s">
        <v>865</v>
      </c>
      <c r="Q50" s="18" t="s">
        <v>866</v>
      </c>
      <c r="R50" s="18" t="s">
        <v>867</v>
      </c>
    </row>
    <row r="51" spans="1:18">
      <c r="A51" s="18">
        <v>2</v>
      </c>
      <c r="B51" s="18" t="s">
        <v>138</v>
      </c>
      <c r="C51" s="18" t="s">
        <v>841</v>
      </c>
      <c r="D51" s="18" t="s">
        <v>868</v>
      </c>
      <c r="E51" s="18" t="s">
        <v>868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1"/>
        <v>A:4,00 x C:10,50 x L:3,50-5,20 x P:19.226kg</v>
      </c>
      <c r="N51" s="18" t="str">
        <f t="shared" si="0"/>
        <v>037717850</v>
      </c>
      <c r="O51" s="23">
        <v>37717850000115</v>
      </c>
      <c r="P51" s="18" t="s">
        <v>869</v>
      </c>
      <c r="Q51" s="18" t="s">
        <v>870</v>
      </c>
      <c r="R51" s="18" t="s">
        <v>622</v>
      </c>
    </row>
    <row r="52" spans="1:18">
      <c r="A52" s="18">
        <v>2</v>
      </c>
      <c r="B52" s="18" t="s">
        <v>138</v>
      </c>
      <c r="C52" s="18" t="s">
        <v>841</v>
      </c>
      <c r="D52" s="18" t="s">
        <v>871</v>
      </c>
      <c r="E52" s="18" t="s">
        <v>871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1"/>
        <v>A:4,00 x C:12,10 x L:3,50-5,43 x P:21.921kg</v>
      </c>
      <c r="N52" s="18" t="str">
        <f t="shared" si="0"/>
        <v>040952314</v>
      </c>
      <c r="O52" s="23">
        <v>40952314000109</v>
      </c>
      <c r="P52" s="18" t="s">
        <v>872</v>
      </c>
      <c r="Q52" s="18" t="s">
        <v>873</v>
      </c>
      <c r="R52" s="18" t="s">
        <v>874</v>
      </c>
    </row>
    <row r="53" spans="1:18">
      <c r="A53" s="18">
        <v>2</v>
      </c>
      <c r="B53" s="18" t="s">
        <v>138</v>
      </c>
      <c r="C53" s="18" t="s">
        <v>841</v>
      </c>
      <c r="D53" s="18" t="s">
        <v>875</v>
      </c>
      <c r="E53" s="18" t="s">
        <v>875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1"/>
        <v>A:4,00 x C:12,10 x L:3,50-5,43 x P:22.185kg</v>
      </c>
      <c r="N53" s="18" t="str">
        <f t="shared" si="0"/>
        <v>051836272</v>
      </c>
      <c r="O53" s="23">
        <v>51836272000167</v>
      </c>
      <c r="P53" s="18" t="s">
        <v>876</v>
      </c>
      <c r="Q53" s="18" t="s">
        <v>877</v>
      </c>
      <c r="R53" s="18" t="s">
        <v>622</v>
      </c>
    </row>
    <row r="54" spans="1:18">
      <c r="A54" s="18">
        <v>3</v>
      </c>
      <c r="B54" s="18" t="s">
        <v>137</v>
      </c>
      <c r="C54" s="18" t="s">
        <v>878</v>
      </c>
      <c r="D54" s="18" t="s">
        <v>879</v>
      </c>
      <c r="E54" s="18" t="s">
        <v>880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1"/>
        <v>A:1,50 x C:5,00 x L:1,90-1,90 x P:2.000kg</v>
      </c>
      <c r="N54" s="18" t="str">
        <f t="shared" si="0"/>
        <v>027525938</v>
      </c>
      <c r="O54" s="23">
        <v>27525938000181</v>
      </c>
      <c r="P54" s="18" t="s">
        <v>881</v>
      </c>
      <c r="Q54" s="18" t="s">
        <v>437</v>
      </c>
      <c r="R54" s="18" t="s">
        <v>599</v>
      </c>
    </row>
    <row r="55" spans="1:18">
      <c r="A55" s="18">
        <v>3</v>
      </c>
      <c r="B55" s="18" t="s">
        <v>137</v>
      </c>
      <c r="C55" s="18" t="s">
        <v>878</v>
      </c>
      <c r="D55" s="18" t="s">
        <v>882</v>
      </c>
      <c r="E55" s="18" t="s">
        <v>883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1"/>
        <v>A:1,50 x C:5,50 x L:1,90-1,90 x P:2.200kg</v>
      </c>
      <c r="N55" s="18" t="str">
        <f t="shared" si="0"/>
        <v>000428307</v>
      </c>
      <c r="O55" s="23">
        <v>428307001917</v>
      </c>
      <c r="P55" s="18" t="s">
        <v>884</v>
      </c>
      <c r="Q55" s="18" t="s">
        <v>885</v>
      </c>
      <c r="R55" s="18" t="s">
        <v>886</v>
      </c>
    </row>
    <row r="56" spans="1:18">
      <c r="A56" s="18">
        <v>3</v>
      </c>
      <c r="B56" s="18" t="s">
        <v>137</v>
      </c>
      <c r="C56" s="18" t="s">
        <v>878</v>
      </c>
      <c r="D56" s="18" t="s">
        <v>887</v>
      </c>
      <c r="E56" s="18" t="s">
        <v>888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1"/>
        <v>A:1,50 x C:6,00 x L:1,90-1,90 x P:2.400kg</v>
      </c>
      <c r="N56" s="18" t="str">
        <f t="shared" si="0"/>
        <v>000428307</v>
      </c>
      <c r="O56" s="23">
        <v>428307001240</v>
      </c>
      <c r="P56" s="18" t="s">
        <v>885</v>
      </c>
      <c r="Q56" s="18" t="s">
        <v>885</v>
      </c>
      <c r="R56" s="18" t="s">
        <v>889</v>
      </c>
    </row>
    <row r="57" spans="1:18">
      <c r="A57" s="18">
        <v>3</v>
      </c>
      <c r="B57" s="18" t="s">
        <v>137</v>
      </c>
      <c r="C57" s="18" t="s">
        <v>878</v>
      </c>
      <c r="D57" s="18" t="s">
        <v>890</v>
      </c>
      <c r="E57" s="18" t="s">
        <v>891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1"/>
        <v>A:1,50 x C:6,50 x L:1,90-1,90 x P:2.600kg</v>
      </c>
      <c r="N57" s="18" t="str">
        <f t="shared" si="0"/>
        <v>000428307</v>
      </c>
      <c r="O57" s="23">
        <v>428307001321</v>
      </c>
      <c r="P57" s="18" t="s">
        <v>885</v>
      </c>
      <c r="Q57" s="18" t="s">
        <v>885</v>
      </c>
      <c r="R57" s="18" t="s">
        <v>889</v>
      </c>
    </row>
    <row r="58" spans="1:18">
      <c r="A58" s="18">
        <v>3</v>
      </c>
      <c r="B58" s="18" t="s">
        <v>137</v>
      </c>
      <c r="C58" s="18" t="s">
        <v>878</v>
      </c>
      <c r="D58" s="18" t="s">
        <v>892</v>
      </c>
      <c r="E58" s="18" t="s">
        <v>893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1"/>
        <v>A:1,50 x C:7,00 x L:1,90-1,90 x P:2.800kg</v>
      </c>
      <c r="N58" s="18" t="str">
        <f t="shared" si="0"/>
        <v>000428307</v>
      </c>
      <c r="O58" s="23">
        <v>428307000279</v>
      </c>
      <c r="P58" s="18" t="s">
        <v>885</v>
      </c>
      <c r="Q58" s="18" t="s">
        <v>885</v>
      </c>
      <c r="R58" s="18" t="s">
        <v>894</v>
      </c>
    </row>
    <row r="59" spans="1:18">
      <c r="A59" s="18">
        <v>3</v>
      </c>
      <c r="B59" s="18" t="s">
        <v>137</v>
      </c>
      <c r="C59" s="18" t="s">
        <v>878</v>
      </c>
      <c r="D59" s="18" t="s">
        <v>895</v>
      </c>
      <c r="E59" s="18" t="s">
        <v>896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1"/>
        <v>A:1,50 x C:7,50 x L:1,90-1,90 x P:3.000kg</v>
      </c>
      <c r="N59" s="18" t="str">
        <f t="shared" si="0"/>
        <v>000428307</v>
      </c>
      <c r="O59" s="23">
        <v>428307000864</v>
      </c>
      <c r="P59" s="18" t="s">
        <v>884</v>
      </c>
      <c r="Q59" s="18" t="s">
        <v>885</v>
      </c>
      <c r="R59" s="18" t="s">
        <v>897</v>
      </c>
    </row>
    <row r="60" spans="1:18">
      <c r="A60" s="18">
        <v>3</v>
      </c>
      <c r="B60" s="18" t="s">
        <v>137</v>
      </c>
      <c r="C60" s="18" t="s">
        <v>878</v>
      </c>
      <c r="D60" s="18" t="s">
        <v>898</v>
      </c>
      <c r="E60" s="18" t="s">
        <v>899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1"/>
        <v>A:1,50 x C:8,00 x L:1,90-1,90 x P:3.200kg</v>
      </c>
      <c r="N60" s="18" t="str">
        <f t="shared" si="0"/>
        <v>000428307</v>
      </c>
      <c r="O60" s="23">
        <v>428307000600</v>
      </c>
      <c r="P60" s="18" t="s">
        <v>884</v>
      </c>
      <c r="Q60" s="18" t="s">
        <v>885</v>
      </c>
      <c r="R60" s="18" t="s">
        <v>900</v>
      </c>
    </row>
    <row r="61" spans="1:18">
      <c r="A61" s="18">
        <v>3</v>
      </c>
      <c r="B61" s="18" t="s">
        <v>137</v>
      </c>
      <c r="C61" s="18" t="s">
        <v>878</v>
      </c>
      <c r="D61" s="18" t="s">
        <v>901</v>
      </c>
      <c r="E61" s="18" t="s">
        <v>902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1"/>
        <v>A:1,50 x C:8,50 x L:1,90-1,90 x P:3.400kg</v>
      </c>
      <c r="N61" s="18" t="str">
        <f t="shared" si="0"/>
        <v>000428307</v>
      </c>
      <c r="O61" s="23">
        <v>428307000198</v>
      </c>
      <c r="P61" s="18" t="s">
        <v>884</v>
      </c>
      <c r="Q61" s="18" t="s">
        <v>885</v>
      </c>
      <c r="R61" s="18" t="s">
        <v>903</v>
      </c>
    </row>
    <row r="62" spans="1:18">
      <c r="A62" s="18">
        <v>3</v>
      </c>
      <c r="B62" s="18" t="s">
        <v>137</v>
      </c>
      <c r="C62" s="18" t="s">
        <v>878</v>
      </c>
      <c r="D62" s="18" t="s">
        <v>904</v>
      </c>
      <c r="E62" s="18" t="s">
        <v>905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1"/>
        <v>A:1,50 x C:9,00 x L:1,90-1,90 x P:3.600kg</v>
      </c>
      <c r="N62" s="18" t="str">
        <f t="shared" si="0"/>
        <v>000428307</v>
      </c>
      <c r="O62" s="23">
        <v>428307001674</v>
      </c>
      <c r="P62" s="18" t="s">
        <v>884</v>
      </c>
      <c r="Q62" s="18" t="s">
        <v>885</v>
      </c>
      <c r="R62" s="18" t="s">
        <v>906</v>
      </c>
    </row>
    <row r="63" spans="1:18">
      <c r="A63" s="18">
        <v>3</v>
      </c>
      <c r="B63" s="18" t="s">
        <v>137</v>
      </c>
      <c r="C63" s="18" t="s">
        <v>878</v>
      </c>
      <c r="D63" s="18" t="s">
        <v>907</v>
      </c>
      <c r="E63" s="18" t="s">
        <v>908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1"/>
        <v>A:1,50 x C:9,50 x L:1,90-1,90 x P:3.800kg</v>
      </c>
      <c r="N63" s="18" t="str">
        <f t="shared" si="0"/>
        <v>000428307</v>
      </c>
      <c r="O63" s="23">
        <v>428307000350</v>
      </c>
      <c r="P63" s="18" t="s">
        <v>884</v>
      </c>
      <c r="Q63" s="18" t="s">
        <v>885</v>
      </c>
      <c r="R63" s="18" t="s">
        <v>909</v>
      </c>
    </row>
    <row r="64" spans="1:18">
      <c r="A64" s="18">
        <v>3</v>
      </c>
      <c r="B64" s="18" t="s">
        <v>137</v>
      </c>
      <c r="C64" s="18" t="s">
        <v>878</v>
      </c>
      <c r="D64" s="18" t="s">
        <v>910</v>
      </c>
      <c r="E64" s="18" t="s">
        <v>911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1"/>
        <v>A:1,50 x C:10,00 x L:1,90-1,90 x P:4.000kg</v>
      </c>
      <c r="N64" s="18" t="str">
        <f t="shared" si="0"/>
        <v>000428307</v>
      </c>
      <c r="O64" s="23">
        <v>428307000430</v>
      </c>
      <c r="P64" s="18" t="s">
        <v>884</v>
      </c>
      <c r="Q64" s="18" t="s">
        <v>885</v>
      </c>
      <c r="R64" s="18" t="s">
        <v>912</v>
      </c>
    </row>
    <row r="65" spans="1:18">
      <c r="A65" s="18">
        <v>3</v>
      </c>
      <c r="B65" s="18" t="s">
        <v>137</v>
      </c>
      <c r="C65" s="18" t="s">
        <v>878</v>
      </c>
      <c r="D65" s="18" t="s">
        <v>913</v>
      </c>
      <c r="E65" s="18" t="s">
        <v>914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1"/>
        <v>A:1,50 x C:10,50 x L:1,90-1,90 x P:4.200kg</v>
      </c>
      <c r="N65" s="18" t="str">
        <f t="shared" si="0"/>
        <v>000428307</v>
      </c>
      <c r="O65" s="23">
        <v>428307000783</v>
      </c>
      <c r="P65" s="18" t="s">
        <v>884</v>
      </c>
      <c r="Q65" s="18" t="s">
        <v>885</v>
      </c>
      <c r="R65" s="18" t="s">
        <v>915</v>
      </c>
    </row>
    <row r="66" spans="1:18">
      <c r="A66" s="18">
        <v>3</v>
      </c>
      <c r="B66" s="18" t="s">
        <v>137</v>
      </c>
      <c r="C66" s="18" t="s">
        <v>878</v>
      </c>
      <c r="D66" s="18" t="s">
        <v>916</v>
      </c>
      <c r="E66" s="18" t="s">
        <v>917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1"/>
        <v>A:1,50 x C:11,00 x L:1,90-1,90 x P:4.400kg</v>
      </c>
      <c r="N66" s="18" t="str">
        <f t="shared" ref="N66:N129" si="2">"0"&amp;LEFT(TEXT(SUBSTITUTE(SUBSTITUTE(SUBSTITUTE(O66,".",""),"/",""),"-",""),"00000000000000"),8)</f>
        <v>000428307</v>
      </c>
      <c r="O66" s="23">
        <v>428307000511</v>
      </c>
      <c r="P66" s="18" t="s">
        <v>884</v>
      </c>
      <c r="Q66" s="18" t="s">
        <v>885</v>
      </c>
      <c r="R66" s="18" t="s">
        <v>918</v>
      </c>
    </row>
    <row r="67" spans="1:18">
      <c r="A67" s="18">
        <v>3</v>
      </c>
      <c r="B67" s="18" t="s">
        <v>137</v>
      </c>
      <c r="C67" s="18" t="s">
        <v>878</v>
      </c>
      <c r="D67" s="18" t="s">
        <v>919</v>
      </c>
      <c r="E67" s="18" t="s">
        <v>920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 t="shared" si="2"/>
        <v>000428307</v>
      </c>
      <c r="O67" s="23">
        <v>428307001160</v>
      </c>
      <c r="P67" s="18" t="s">
        <v>921</v>
      </c>
      <c r="Q67" s="18" t="s">
        <v>885</v>
      </c>
      <c r="R67" s="18" t="s">
        <v>922</v>
      </c>
    </row>
    <row r="68" spans="1:18">
      <c r="A68" s="18">
        <v>3</v>
      </c>
      <c r="B68" s="18" t="s">
        <v>137</v>
      </c>
      <c r="C68" s="18" t="s">
        <v>878</v>
      </c>
      <c r="D68" s="18" t="s">
        <v>923</v>
      </c>
      <c r="E68" s="18" t="s">
        <v>924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3"/>
        <v>A:1,50 x C:12,00 x L:1,90-1,90 x P:4.800kg</v>
      </c>
      <c r="N68" s="18" t="str">
        <f t="shared" si="2"/>
        <v>000428307</v>
      </c>
      <c r="O68" s="23">
        <v>428307001089</v>
      </c>
      <c r="P68" s="18" t="s">
        <v>925</v>
      </c>
      <c r="Q68" s="18" t="s">
        <v>885</v>
      </c>
      <c r="R68" s="18" t="s">
        <v>926</v>
      </c>
    </row>
    <row r="69" spans="1:18">
      <c r="A69" s="18">
        <v>3</v>
      </c>
      <c r="B69" s="18" t="s">
        <v>137</v>
      </c>
      <c r="C69" s="18" t="s">
        <v>878</v>
      </c>
      <c r="D69" s="18" t="s">
        <v>927</v>
      </c>
      <c r="E69" s="18" t="s">
        <v>928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3"/>
        <v>A:1,50 x C:12,50 x L:1,90-1,90 x P:5.000kg</v>
      </c>
      <c r="N69" s="18" t="str">
        <f t="shared" si="2"/>
        <v>000428307</v>
      </c>
      <c r="O69" s="23">
        <v>428307002301</v>
      </c>
      <c r="P69" s="18" t="s">
        <v>921</v>
      </c>
      <c r="Q69" s="18" t="s">
        <v>885</v>
      </c>
      <c r="R69" s="18" t="s">
        <v>725</v>
      </c>
    </row>
    <row r="70" spans="1:18">
      <c r="A70" s="18">
        <v>3</v>
      </c>
      <c r="B70" s="18" t="s">
        <v>137</v>
      </c>
      <c r="C70" s="18" t="s">
        <v>929</v>
      </c>
      <c r="D70" s="18" t="s">
        <v>930</v>
      </c>
      <c r="E70" s="18" t="s">
        <v>931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3"/>
        <v>A:1,50 x C:2,00 x L:1,90-1,90 x P:1.000kg</v>
      </c>
      <c r="N70" s="18" t="str">
        <f t="shared" si="2"/>
        <v>000428307</v>
      </c>
      <c r="O70" s="23">
        <v>428307002484</v>
      </c>
      <c r="P70" s="18" t="s">
        <v>885</v>
      </c>
      <c r="Q70" s="18" t="s">
        <v>885</v>
      </c>
      <c r="R70" s="18" t="s">
        <v>903</v>
      </c>
    </row>
    <row r="71" spans="1:18">
      <c r="A71" s="18">
        <v>3</v>
      </c>
      <c r="B71" s="18" t="s">
        <v>137</v>
      </c>
      <c r="C71" s="18" t="s">
        <v>929</v>
      </c>
      <c r="D71" s="18" t="s">
        <v>932</v>
      </c>
      <c r="E71" s="18" t="s">
        <v>933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3"/>
        <v>A:1,50 x C:2,50 x L:1,90-1,90 x P:1.150kg</v>
      </c>
      <c r="N71" s="18" t="str">
        <f t="shared" si="2"/>
        <v>016666005</v>
      </c>
      <c r="O71" s="23">
        <v>16666005000198</v>
      </c>
      <c r="P71" s="18" t="s">
        <v>934</v>
      </c>
      <c r="Q71" s="18" t="s">
        <v>935</v>
      </c>
      <c r="R71" s="18" t="s">
        <v>599</v>
      </c>
    </row>
    <row r="72" spans="1:18">
      <c r="A72" s="18">
        <v>3</v>
      </c>
      <c r="B72" s="18" t="s">
        <v>137</v>
      </c>
      <c r="C72" s="18" t="s">
        <v>929</v>
      </c>
      <c r="D72" s="18" t="s">
        <v>936</v>
      </c>
      <c r="E72" s="18" t="s">
        <v>937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3"/>
        <v>A:1,50 x C:3,00 x L:1,90-1,90 x P:1.380kg</v>
      </c>
      <c r="N72" s="18" t="str">
        <f t="shared" si="2"/>
        <v>032083509</v>
      </c>
      <c r="O72" s="23">
        <v>32083509000131</v>
      </c>
      <c r="P72" s="18" t="s">
        <v>938</v>
      </c>
      <c r="Q72" s="18" t="s">
        <v>939</v>
      </c>
      <c r="R72" s="18" t="s">
        <v>622</v>
      </c>
    </row>
    <row r="73" spans="1:18">
      <c r="A73" s="18">
        <v>3</v>
      </c>
      <c r="B73" s="18" t="s">
        <v>137</v>
      </c>
      <c r="C73" s="18" t="s">
        <v>929</v>
      </c>
      <c r="D73" s="18" t="s">
        <v>940</v>
      </c>
      <c r="E73" s="18" t="s">
        <v>941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3"/>
        <v>A:1,50 x C:3,50 x L:1,90-1,90 x P:1.610kg</v>
      </c>
      <c r="N73" s="18" t="str">
        <f t="shared" si="2"/>
        <v>052184344</v>
      </c>
      <c r="O73" s="23">
        <v>52184344000100</v>
      </c>
      <c r="P73" s="18" t="s">
        <v>942</v>
      </c>
      <c r="Q73" s="18" t="s">
        <v>943</v>
      </c>
      <c r="R73" s="18" t="s">
        <v>607</v>
      </c>
    </row>
    <row r="74" spans="1:18">
      <c r="A74" s="18">
        <v>3</v>
      </c>
      <c r="B74" s="18" t="s">
        <v>137</v>
      </c>
      <c r="C74" s="18" t="s">
        <v>929</v>
      </c>
      <c r="D74" s="18" t="s">
        <v>944</v>
      </c>
      <c r="E74" s="18" t="s">
        <v>945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3"/>
        <v>A:1,50 x C:4,00 x L:1,90-1,90 x P:1.840kg</v>
      </c>
      <c r="N74" s="18" t="str">
        <f t="shared" si="2"/>
        <v>029730518</v>
      </c>
      <c r="O74" s="23">
        <v>29730518000162</v>
      </c>
      <c r="P74" s="18" t="s">
        <v>946</v>
      </c>
      <c r="Q74" s="18" t="s">
        <v>947</v>
      </c>
      <c r="R74" s="18" t="s">
        <v>599</v>
      </c>
    </row>
    <row r="75" spans="1:18">
      <c r="A75" s="18">
        <v>3</v>
      </c>
      <c r="B75" s="18" t="s">
        <v>137</v>
      </c>
      <c r="C75" s="18" t="s">
        <v>929</v>
      </c>
      <c r="D75" s="18" t="s">
        <v>948</v>
      </c>
      <c r="E75" s="18" t="s">
        <v>949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3"/>
        <v>A:1,50 x C:4,50 x L:1,90-1,90 x P:2.070kg</v>
      </c>
      <c r="N75" s="18" t="str">
        <f t="shared" si="2"/>
        <v>028176140</v>
      </c>
      <c r="O75" s="23">
        <v>28176140000134</v>
      </c>
      <c r="P75" s="18" t="s">
        <v>950</v>
      </c>
      <c r="Q75" s="18" t="s">
        <v>951</v>
      </c>
      <c r="R75" s="18" t="s">
        <v>694</v>
      </c>
    </row>
    <row r="76" spans="1:18">
      <c r="A76" s="18">
        <v>3</v>
      </c>
      <c r="B76" s="18" t="s">
        <v>137</v>
      </c>
      <c r="C76" s="18" t="s">
        <v>929</v>
      </c>
      <c r="D76" s="18" t="s">
        <v>952</v>
      </c>
      <c r="E76" s="18" t="s">
        <v>953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3"/>
        <v>A:1,50 x C:5,00 x L:1,90-1,90 x P:2.300kg</v>
      </c>
      <c r="N76" s="18" t="str">
        <f t="shared" si="2"/>
        <v>046406936</v>
      </c>
      <c r="O76" s="23">
        <v>46406936000118</v>
      </c>
      <c r="P76" s="18" t="s">
        <v>954</v>
      </c>
      <c r="Q76" s="18" t="s">
        <v>955</v>
      </c>
      <c r="R76" s="18" t="s">
        <v>607</v>
      </c>
    </row>
    <row r="77" spans="1:18">
      <c r="A77" s="18">
        <v>3</v>
      </c>
      <c r="B77" s="18" t="s">
        <v>137</v>
      </c>
      <c r="C77" s="18" t="s">
        <v>929</v>
      </c>
      <c r="D77" s="18" t="s">
        <v>956</v>
      </c>
      <c r="E77" s="18" t="s">
        <v>957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3"/>
        <v>A:1,50 x C:5,50 x L:1,90-1,90 x P:2.530kg</v>
      </c>
      <c r="N77" s="18" t="str">
        <f t="shared" si="2"/>
        <v>036949062</v>
      </c>
      <c r="O77" s="23">
        <v>36949062000191</v>
      </c>
      <c r="P77" s="18" t="s">
        <v>958</v>
      </c>
      <c r="Q77" s="18" t="s">
        <v>959</v>
      </c>
      <c r="R77" s="18" t="s">
        <v>631</v>
      </c>
    </row>
    <row r="78" spans="1:18">
      <c r="A78" s="18">
        <v>3</v>
      </c>
      <c r="B78" s="18" t="s">
        <v>137</v>
      </c>
      <c r="C78" s="18" t="s">
        <v>929</v>
      </c>
      <c r="D78" s="18" t="s">
        <v>960</v>
      </c>
      <c r="E78" s="18" t="s">
        <v>961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3"/>
        <v>A:1,50 x C:6,00 x L:1,90-1,90 x P:2.760kg</v>
      </c>
      <c r="N78" s="18" t="str">
        <f t="shared" si="2"/>
        <v>004799973</v>
      </c>
      <c r="O78" s="23">
        <v>4799973000193</v>
      </c>
      <c r="P78" s="18" t="s">
        <v>962</v>
      </c>
      <c r="Q78" s="18" t="s">
        <v>963</v>
      </c>
      <c r="R78" s="18" t="s">
        <v>964</v>
      </c>
    </row>
    <row r="79" spans="1:18">
      <c r="A79" s="18">
        <v>3</v>
      </c>
      <c r="B79" s="18" t="s">
        <v>137</v>
      </c>
      <c r="C79" s="18" t="s">
        <v>929</v>
      </c>
      <c r="D79" s="18" t="s">
        <v>965</v>
      </c>
      <c r="E79" s="18" t="s">
        <v>966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3"/>
        <v>A:1,50 x C:6,50 x L:1,90-1,90 x P:2.990kg</v>
      </c>
      <c r="N79" s="18" t="str">
        <f t="shared" si="2"/>
        <v>046304055</v>
      </c>
      <c r="O79" s="23">
        <v>46304055000196</v>
      </c>
      <c r="P79" s="18" t="s">
        <v>967</v>
      </c>
      <c r="Q79" s="18" t="s">
        <v>499</v>
      </c>
      <c r="R79" s="18" t="s">
        <v>840</v>
      </c>
    </row>
    <row r="80" spans="1:18">
      <c r="A80" s="18">
        <v>3</v>
      </c>
      <c r="B80" s="18" t="s">
        <v>137</v>
      </c>
      <c r="C80" s="18" t="s">
        <v>929</v>
      </c>
      <c r="D80" s="18" t="s">
        <v>968</v>
      </c>
      <c r="E80" s="18" t="s">
        <v>969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3"/>
        <v>A:1,50 x C:7,00 x L:1,90-1,90 x P:3.220kg</v>
      </c>
      <c r="N80" s="18" t="str">
        <f t="shared" si="2"/>
        <v>041772779</v>
      </c>
      <c r="O80" s="23">
        <v>41772779000140</v>
      </c>
      <c r="P80" s="18" t="s">
        <v>970</v>
      </c>
      <c r="Q80" s="18" t="s">
        <v>971</v>
      </c>
      <c r="R80" s="18" t="s">
        <v>631</v>
      </c>
    </row>
    <row r="81" spans="1:18">
      <c r="A81" s="18">
        <v>3</v>
      </c>
      <c r="B81" s="18" t="s">
        <v>137</v>
      </c>
      <c r="C81" s="18" t="s">
        <v>929</v>
      </c>
      <c r="D81" s="18" t="s">
        <v>972</v>
      </c>
      <c r="E81" s="18" t="s">
        <v>973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3"/>
        <v>A:1,50 x C:7,50 x L:1,90-1,90 x P:3.450kg</v>
      </c>
      <c r="N81" s="18" t="str">
        <f t="shared" si="2"/>
        <v>041996351</v>
      </c>
      <c r="O81" s="23">
        <v>41996351000181</v>
      </c>
      <c r="P81" s="18" t="s">
        <v>974</v>
      </c>
      <c r="Q81" s="18" t="s">
        <v>975</v>
      </c>
      <c r="R81" s="18" t="s">
        <v>599</v>
      </c>
    </row>
    <row r="82" spans="1:18">
      <c r="A82" s="18">
        <v>3</v>
      </c>
      <c r="B82" s="18" t="s">
        <v>137</v>
      </c>
      <c r="C82" s="18" t="s">
        <v>929</v>
      </c>
      <c r="D82" s="18" t="s">
        <v>976</v>
      </c>
      <c r="E82" s="18" t="s">
        <v>977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3"/>
        <v>A:1,50 x C:8,00 x L:1,90-1,90 x P:3.680kg</v>
      </c>
      <c r="N82" s="18" t="str">
        <f t="shared" si="2"/>
        <v>019442669</v>
      </c>
      <c r="O82" s="23">
        <v>19442669000161</v>
      </c>
      <c r="P82" s="18" t="s">
        <v>978</v>
      </c>
      <c r="Q82" s="18" t="s">
        <v>979</v>
      </c>
      <c r="R82" s="18" t="s">
        <v>599</v>
      </c>
    </row>
    <row r="83" spans="1:18">
      <c r="A83" s="18">
        <v>3</v>
      </c>
      <c r="B83" s="18" t="s">
        <v>137</v>
      </c>
      <c r="C83" s="18" t="s">
        <v>980</v>
      </c>
      <c r="D83" s="18" t="s">
        <v>976</v>
      </c>
      <c r="E83" s="18" t="s">
        <v>981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3"/>
        <v>A:1,60 x C:4,88 x L:1,80-1,80 x P:1.900kg</v>
      </c>
      <c r="N83" s="18" t="str">
        <f t="shared" si="2"/>
        <v>028829399</v>
      </c>
      <c r="O83" s="23">
        <v>28829399000137</v>
      </c>
      <c r="P83" s="18" t="s">
        <v>982</v>
      </c>
      <c r="Q83" s="18" t="s">
        <v>983</v>
      </c>
      <c r="R83" s="18" t="s">
        <v>789</v>
      </c>
    </row>
    <row r="84" spans="1:18">
      <c r="A84" s="18">
        <v>3</v>
      </c>
      <c r="B84" s="18" t="s">
        <v>137</v>
      </c>
      <c r="C84" s="18" t="s">
        <v>984</v>
      </c>
      <c r="D84" s="18" t="s">
        <v>976</v>
      </c>
      <c r="E84" s="18" t="s">
        <v>985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3"/>
        <v>A:1,60 x C:4,88 x L:1,70-1,70 x P:1.800kg</v>
      </c>
      <c r="N84" s="18" t="str">
        <f t="shared" si="2"/>
        <v>084895598</v>
      </c>
      <c r="O84" s="23">
        <v>84895598000114</v>
      </c>
      <c r="P84" s="18" t="s">
        <v>986</v>
      </c>
      <c r="Q84" s="18" t="s">
        <v>987</v>
      </c>
      <c r="R84" s="18" t="s">
        <v>631</v>
      </c>
    </row>
    <row r="85" spans="1:18">
      <c r="A85" s="18">
        <v>3</v>
      </c>
      <c r="B85" s="18" t="s">
        <v>137</v>
      </c>
      <c r="C85" s="18" t="s">
        <v>929</v>
      </c>
      <c r="D85" s="18" t="s">
        <v>988</v>
      </c>
      <c r="E85" s="18" t="s">
        <v>989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3"/>
        <v>A:1,50 x C:8,50 x L:1,90-1,90 x P:3.910kg</v>
      </c>
      <c r="N85" s="18" t="str">
        <f t="shared" si="2"/>
        <v>020060680</v>
      </c>
      <c r="O85" s="23">
        <v>20060680000146</v>
      </c>
      <c r="P85" s="18" t="s">
        <v>990</v>
      </c>
      <c r="Q85" s="18" t="s">
        <v>991</v>
      </c>
      <c r="R85" s="18" t="s">
        <v>825</v>
      </c>
    </row>
    <row r="86" spans="1:18">
      <c r="A86" s="18">
        <v>3</v>
      </c>
      <c r="B86" s="18" t="s">
        <v>137</v>
      </c>
      <c r="C86" s="18" t="s">
        <v>980</v>
      </c>
      <c r="D86" s="18" t="s">
        <v>992</v>
      </c>
      <c r="E86" s="18" t="s">
        <v>993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3"/>
        <v>A:1,60 x C:5,49 x L:1,80-1,80 x P:2.050kg</v>
      </c>
      <c r="N86" s="18" t="str">
        <f t="shared" si="2"/>
        <v>062111348</v>
      </c>
      <c r="O86" s="23">
        <v>62111348000103</v>
      </c>
      <c r="P86" s="18" t="s">
        <v>994</v>
      </c>
      <c r="Q86" s="18" t="s">
        <v>995</v>
      </c>
      <c r="R86" s="18" t="s">
        <v>825</v>
      </c>
    </row>
    <row r="87" spans="1:18">
      <c r="A87" s="18">
        <v>3</v>
      </c>
      <c r="B87" s="18" t="s">
        <v>137</v>
      </c>
      <c r="C87" s="18" t="s">
        <v>984</v>
      </c>
      <c r="D87" s="18" t="s">
        <v>992</v>
      </c>
      <c r="E87" s="18" t="s">
        <v>996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3"/>
        <v>A:1,60 x C:5,49 x L:1,70-1,70 x P:1.950kg</v>
      </c>
      <c r="N87" s="18" t="str">
        <f t="shared" si="2"/>
        <v>061259226</v>
      </c>
      <c r="O87" s="23">
        <v>61259226000104</v>
      </c>
      <c r="P87" s="18" t="s">
        <v>997</v>
      </c>
      <c r="Q87" s="18" t="s">
        <v>998</v>
      </c>
      <c r="R87" s="18" t="s">
        <v>999</v>
      </c>
    </row>
    <row r="88" spans="1:18">
      <c r="A88" s="18">
        <v>3</v>
      </c>
      <c r="B88" s="18" t="s">
        <v>137</v>
      </c>
      <c r="C88" s="18" t="s">
        <v>980</v>
      </c>
      <c r="D88" s="18" t="s">
        <v>1000</v>
      </c>
      <c r="E88" s="18" t="s">
        <v>1001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3"/>
        <v>A:1,60 x C:6,10 x L:1,80-1,80 x P:2.200kg</v>
      </c>
      <c r="N88" s="18" t="str">
        <f t="shared" si="2"/>
        <v>017726086</v>
      </c>
      <c r="O88" s="23">
        <v>17726086000137</v>
      </c>
      <c r="P88" s="18" t="s">
        <v>1002</v>
      </c>
      <c r="Q88" s="18" t="s">
        <v>1003</v>
      </c>
      <c r="R88" s="18" t="s">
        <v>1004</v>
      </c>
    </row>
    <row r="89" spans="1:18">
      <c r="A89" s="18">
        <v>3</v>
      </c>
      <c r="B89" s="18" t="s">
        <v>137</v>
      </c>
      <c r="C89" s="18" t="s">
        <v>984</v>
      </c>
      <c r="D89" s="18" t="s">
        <v>1000</v>
      </c>
      <c r="E89" s="18" t="s">
        <v>1005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3"/>
        <v>A:1,60 x C:6,10 x L:1,70-1,70 x P:2.100kg</v>
      </c>
      <c r="N89" s="18" t="str">
        <f t="shared" si="2"/>
        <v>037205228</v>
      </c>
      <c r="O89" s="23">
        <v>37205228000128</v>
      </c>
      <c r="P89" s="18" t="s">
        <v>1006</v>
      </c>
      <c r="Q89" s="18" t="s">
        <v>1007</v>
      </c>
      <c r="R89" s="18" t="s">
        <v>840</v>
      </c>
    </row>
    <row r="90" spans="1:18">
      <c r="A90" s="18">
        <v>3</v>
      </c>
      <c r="B90" s="18" t="s">
        <v>137</v>
      </c>
      <c r="C90" s="18" t="s">
        <v>929</v>
      </c>
      <c r="D90" s="18" t="s">
        <v>1008</v>
      </c>
      <c r="E90" s="18" t="s">
        <v>1009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3"/>
        <v>A:1,60 x C:6,71 x L:1,80-1,80 x P:2.300kg</v>
      </c>
      <c r="N90" s="18" t="str">
        <f t="shared" si="2"/>
        <v>034154225</v>
      </c>
      <c r="O90" s="23">
        <v>34154225000114</v>
      </c>
      <c r="P90" s="18" t="s">
        <v>1010</v>
      </c>
      <c r="Q90" s="18" t="s">
        <v>449</v>
      </c>
      <c r="R90" s="18" t="s">
        <v>622</v>
      </c>
    </row>
    <row r="91" spans="1:18">
      <c r="A91" s="18">
        <v>3</v>
      </c>
      <c r="B91" s="18" t="s">
        <v>137</v>
      </c>
      <c r="C91" s="18" t="s">
        <v>984</v>
      </c>
      <c r="D91" s="18" t="s">
        <v>1008</v>
      </c>
      <c r="E91" s="18" t="s">
        <v>1011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3"/>
        <v>A:1,60 x C:6,71 x L:1,70-1,70 x P:2.250kg</v>
      </c>
      <c r="N91" s="18" t="str">
        <f t="shared" si="2"/>
        <v>027170024</v>
      </c>
      <c r="O91" s="23">
        <v>27170024000145</v>
      </c>
      <c r="P91" s="18" t="s">
        <v>1012</v>
      </c>
      <c r="Q91" s="18" t="s">
        <v>1013</v>
      </c>
      <c r="R91" s="18" t="s">
        <v>1014</v>
      </c>
    </row>
    <row r="92" spans="1:18">
      <c r="A92" s="18">
        <v>3</v>
      </c>
      <c r="B92" s="18" t="s">
        <v>137</v>
      </c>
      <c r="C92" s="18" t="s">
        <v>929</v>
      </c>
      <c r="D92" s="18" t="s">
        <v>1015</v>
      </c>
      <c r="E92" s="18" t="s">
        <v>1016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3"/>
        <v>A:1,50 x C:12,00 x L:1,90-1,90 x P:5.520kg</v>
      </c>
      <c r="N92" s="18" t="str">
        <f t="shared" si="2"/>
        <v>031370636</v>
      </c>
      <c r="O92" s="23">
        <v>31370636000159</v>
      </c>
      <c r="P92" s="18" t="s">
        <v>1017</v>
      </c>
      <c r="Q92" s="18" t="s">
        <v>479</v>
      </c>
      <c r="R92" s="18" t="s">
        <v>840</v>
      </c>
    </row>
    <row r="93" spans="1:18">
      <c r="A93" s="18">
        <v>3</v>
      </c>
      <c r="B93" s="18" t="s">
        <v>137</v>
      </c>
      <c r="C93" s="18" t="s">
        <v>980</v>
      </c>
      <c r="D93" s="18" t="s">
        <v>1018</v>
      </c>
      <c r="E93" s="18" t="s">
        <v>1019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3"/>
        <v>A:1,60 x C:7,62 x L:1,80-1,80 x P:2.333kg</v>
      </c>
      <c r="N93" s="18" t="str">
        <f t="shared" si="2"/>
        <v>029084883</v>
      </c>
      <c r="O93" s="23">
        <v>29084883000147</v>
      </c>
      <c r="P93" s="18" t="s">
        <v>1020</v>
      </c>
      <c r="Q93" s="18" t="s">
        <v>1021</v>
      </c>
      <c r="R93" s="18" t="s">
        <v>840</v>
      </c>
    </row>
    <row r="94" spans="1:18">
      <c r="A94" s="18">
        <v>3</v>
      </c>
      <c r="B94" s="18" t="s">
        <v>137</v>
      </c>
      <c r="C94" s="18" t="s">
        <v>929</v>
      </c>
      <c r="D94" s="18" t="s">
        <v>1022</v>
      </c>
      <c r="E94" s="18" t="s">
        <v>1023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3"/>
        <v>A:1,50 x C:12,15 x L:1,90-1,90 x P:6.210kg</v>
      </c>
      <c r="N94" s="18" t="str">
        <f t="shared" si="2"/>
        <v>059376166</v>
      </c>
      <c r="O94" s="23">
        <v>59376166000150</v>
      </c>
      <c r="P94" s="18" t="s">
        <v>1024</v>
      </c>
      <c r="Q94" s="18" t="s">
        <v>512</v>
      </c>
      <c r="R94" s="18" t="s">
        <v>825</v>
      </c>
    </row>
    <row r="95" spans="1:18">
      <c r="A95" s="18">
        <v>3</v>
      </c>
      <c r="B95" s="18" t="s">
        <v>137</v>
      </c>
      <c r="C95" s="18" t="s">
        <v>980</v>
      </c>
      <c r="D95" s="18" t="s">
        <v>1025</v>
      </c>
      <c r="E95" s="18" t="s">
        <v>1026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3"/>
        <v>A:1,60 x C:9,14 x L:1,80-1,80 x P:2.871kg</v>
      </c>
      <c r="N95" s="18" t="str">
        <f t="shared" si="2"/>
        <v>042932416</v>
      </c>
      <c r="O95" s="23">
        <v>42932416000198</v>
      </c>
      <c r="P95" s="18" t="s">
        <v>1027</v>
      </c>
      <c r="Q95" s="18" t="s">
        <v>1028</v>
      </c>
      <c r="R95" s="18" t="s">
        <v>825</v>
      </c>
    </row>
    <row r="96" spans="1:18">
      <c r="A96" s="18">
        <v>3</v>
      </c>
      <c r="B96" s="18" t="s">
        <v>137</v>
      </c>
      <c r="C96" s="18" t="s">
        <v>980</v>
      </c>
      <c r="D96" s="18" t="s">
        <v>1029</v>
      </c>
      <c r="E96" s="18" t="s">
        <v>1030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3"/>
        <v>A:1,60 x C:10,67 x L:1,80-1,80 x P:3.300kg</v>
      </c>
      <c r="N96" s="18" t="str">
        <f t="shared" si="2"/>
        <v>011374806</v>
      </c>
      <c r="O96" s="23">
        <v>11374806000166</v>
      </c>
      <c r="P96" s="18" t="s">
        <v>1031</v>
      </c>
      <c r="Q96" s="18" t="s">
        <v>1032</v>
      </c>
      <c r="R96" s="18" t="s">
        <v>825</v>
      </c>
    </row>
    <row r="97" spans="1:18">
      <c r="A97" s="18">
        <v>3</v>
      </c>
      <c r="B97" s="18" t="s">
        <v>137</v>
      </c>
      <c r="C97" s="18" t="s">
        <v>1033</v>
      </c>
      <c r="D97" s="18" t="s">
        <v>1034</v>
      </c>
      <c r="E97" s="18" t="s">
        <v>1035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3"/>
        <v>A:1,60 x C:10,27 x L:2,70-2,70 x P:3.200kg</v>
      </c>
      <c r="N97" s="18" t="str">
        <f t="shared" si="2"/>
        <v>060472749</v>
      </c>
      <c r="O97" s="23">
        <v>60472749000163</v>
      </c>
      <c r="P97" s="18" t="s">
        <v>1036</v>
      </c>
      <c r="Q97" s="18" t="s">
        <v>1037</v>
      </c>
      <c r="R97" s="18" t="s">
        <v>631</v>
      </c>
    </row>
    <row r="98" spans="1:18">
      <c r="A98" s="18">
        <v>3</v>
      </c>
      <c r="B98" s="18" t="s">
        <v>137</v>
      </c>
      <c r="C98" s="18" t="s">
        <v>1033</v>
      </c>
      <c r="D98" s="18" t="s">
        <v>1038</v>
      </c>
      <c r="E98" s="18" t="s">
        <v>1039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3"/>
        <v>A:1,60 x C:11,79 x L:2,70-2,70 x P:3.646kg</v>
      </c>
      <c r="N98" s="18" t="str">
        <f t="shared" si="2"/>
        <v>059119304</v>
      </c>
      <c r="O98" s="23">
        <v>59119304000115</v>
      </c>
      <c r="P98" s="18" t="s">
        <v>1040</v>
      </c>
      <c r="Q98" s="18" t="s">
        <v>1041</v>
      </c>
      <c r="R98" s="18" t="s">
        <v>840</v>
      </c>
    </row>
    <row r="99" spans="1:18">
      <c r="A99" s="18">
        <v>3</v>
      </c>
      <c r="B99" s="18" t="s">
        <v>137</v>
      </c>
      <c r="C99" s="18" t="s">
        <v>1033</v>
      </c>
      <c r="D99" s="18" t="s">
        <v>1042</v>
      </c>
      <c r="E99" s="18" t="s">
        <v>1043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3"/>
        <v>A:1,60 x C:13,32 x L:2,70-2,70 x P:4.055kg</v>
      </c>
      <c r="N99" s="18" t="str">
        <f t="shared" si="2"/>
        <v>058219628</v>
      </c>
      <c r="O99" s="23" t="s">
        <v>1044</v>
      </c>
      <c r="P99" s="18" t="s">
        <v>1045</v>
      </c>
      <c r="Q99" s="18" t="s">
        <v>1046</v>
      </c>
      <c r="R99" s="18" t="s">
        <v>1047</v>
      </c>
    </row>
    <row r="100" spans="1:18">
      <c r="A100" s="18">
        <v>3</v>
      </c>
      <c r="B100" s="18" t="s">
        <v>137</v>
      </c>
      <c r="C100" s="18" t="s">
        <v>1033</v>
      </c>
      <c r="D100" s="18" t="s">
        <v>1048</v>
      </c>
      <c r="E100" s="18" t="s">
        <v>1049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3"/>
        <v>A:1,60 x C:14,75 x L:2,70-2,70 x P:4.420kg</v>
      </c>
      <c r="N100" s="18" t="str">
        <f t="shared" si="2"/>
        <v>028198228</v>
      </c>
      <c r="O100" s="23">
        <v>28198228000157</v>
      </c>
      <c r="P100" s="18" t="s">
        <v>1050</v>
      </c>
      <c r="Q100" s="18" t="s">
        <v>1051</v>
      </c>
      <c r="R100" s="18" t="s">
        <v>1052</v>
      </c>
    </row>
    <row r="101" spans="1:18">
      <c r="A101" s="18">
        <v>3</v>
      </c>
      <c r="B101" s="18" t="s">
        <v>137</v>
      </c>
      <c r="C101" s="18" t="s">
        <v>878</v>
      </c>
      <c r="D101" s="18" t="s">
        <v>1053</v>
      </c>
      <c r="E101" s="18" t="s">
        <v>1054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3"/>
        <v>A:1,50 x C:4,00 x L:1,90-1,90 x P:1.600kg</v>
      </c>
      <c r="N101" s="18" t="str">
        <f t="shared" si="2"/>
        <v>045585920</v>
      </c>
      <c r="O101" s="23">
        <v>45585920000157</v>
      </c>
      <c r="P101" s="18" t="s">
        <v>1055</v>
      </c>
      <c r="Q101" s="18" t="s">
        <v>1056</v>
      </c>
      <c r="R101" s="18" t="s">
        <v>599</v>
      </c>
    </row>
    <row r="102" spans="1:18">
      <c r="A102" s="18">
        <v>3</v>
      </c>
      <c r="B102" s="18" t="s">
        <v>137</v>
      </c>
      <c r="C102" s="18" t="s">
        <v>878</v>
      </c>
      <c r="D102" s="18" t="s">
        <v>1057</v>
      </c>
      <c r="E102" s="18" t="s">
        <v>1058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3"/>
        <v>A:1,50 x C:4,50 x L:1,90-1,90 x P:1.800kg</v>
      </c>
      <c r="N102" s="18" t="str">
        <f t="shared" si="2"/>
        <v>047462365</v>
      </c>
      <c r="O102" s="23">
        <v>47462365000100</v>
      </c>
      <c r="P102" s="18" t="s">
        <v>1059</v>
      </c>
      <c r="Q102" s="18" t="s">
        <v>1060</v>
      </c>
      <c r="R102" s="18" t="s">
        <v>825</v>
      </c>
    </row>
    <row r="103" spans="1:18">
      <c r="A103" s="18">
        <v>3</v>
      </c>
      <c r="B103" s="18" t="s">
        <v>137</v>
      </c>
      <c r="C103" s="18" t="s">
        <v>1061</v>
      </c>
      <c r="D103" s="18" t="s">
        <v>1062</v>
      </c>
      <c r="E103" s="18" t="s">
        <v>1063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3"/>
        <v>A:1,60 x C:15,30 x L:2,90-2,90 x P:5.200kg</v>
      </c>
      <c r="N103" s="18" t="str">
        <f t="shared" si="2"/>
        <v>048269792</v>
      </c>
      <c r="O103" s="23">
        <v>48269792000120</v>
      </c>
      <c r="P103" s="18" t="s">
        <v>1064</v>
      </c>
      <c r="Q103" s="18" t="s">
        <v>1065</v>
      </c>
      <c r="R103" s="18" t="s">
        <v>1066</v>
      </c>
    </row>
    <row r="104" spans="1:18">
      <c r="A104" s="18">
        <v>3</v>
      </c>
      <c r="B104" s="18" t="s">
        <v>137</v>
      </c>
      <c r="C104" s="18" t="s">
        <v>1061</v>
      </c>
      <c r="D104" s="18" t="s">
        <v>1067</v>
      </c>
      <c r="E104" s="18" t="s">
        <v>1067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3"/>
        <v>A:1,60 x C:9,14 x L:1,80-1,80 x P:2.900kg</v>
      </c>
      <c r="N104" s="18" t="str">
        <f t="shared" si="2"/>
        <v>008880208</v>
      </c>
      <c r="O104" s="23">
        <v>8880208000154</v>
      </c>
      <c r="P104" s="18" t="s">
        <v>1068</v>
      </c>
      <c r="Q104" s="18" t="s">
        <v>1069</v>
      </c>
      <c r="R104" s="18" t="s">
        <v>1052</v>
      </c>
    </row>
    <row r="105" spans="1:18">
      <c r="A105" s="18">
        <v>3</v>
      </c>
      <c r="B105" s="18" t="s">
        <v>137</v>
      </c>
      <c r="C105" s="18" t="s">
        <v>1070</v>
      </c>
      <c r="D105" s="18" t="s">
        <v>1071</v>
      </c>
      <c r="E105" s="18" t="s">
        <v>1071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3"/>
        <v>A:1,60 x C:9,14 x L:2,20-2,20 x P:4.200kg</v>
      </c>
      <c r="N105" s="18" t="str">
        <f t="shared" si="2"/>
        <v>041544387</v>
      </c>
      <c r="O105" s="23">
        <v>41544387000124</v>
      </c>
      <c r="P105" s="18" t="s">
        <v>1072</v>
      </c>
      <c r="Q105" s="18" t="s">
        <v>1073</v>
      </c>
      <c r="R105" s="18" t="s">
        <v>1074</v>
      </c>
    </row>
    <row r="106" spans="1:18">
      <c r="A106" s="18">
        <v>3</v>
      </c>
      <c r="B106" s="18" t="s">
        <v>137</v>
      </c>
      <c r="C106" s="18" t="s">
        <v>1070</v>
      </c>
      <c r="D106" s="18" t="s">
        <v>1075</v>
      </c>
      <c r="E106" s="18" t="s">
        <v>1075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3"/>
        <v>A:1,60 x C:10,67 x L:2,20-2,20 x P:5.000kg</v>
      </c>
      <c r="N106" s="18" t="str">
        <f t="shared" si="2"/>
        <v>054337699</v>
      </c>
      <c r="O106" s="23">
        <v>54337699000109</v>
      </c>
      <c r="P106" s="18" t="s">
        <v>1076</v>
      </c>
      <c r="Q106" s="18" t="s">
        <v>1077</v>
      </c>
      <c r="R106" s="18" t="s">
        <v>622</v>
      </c>
    </row>
    <row r="107" spans="1:18">
      <c r="A107" s="18">
        <v>4</v>
      </c>
      <c r="B107" s="18" t="s">
        <v>135</v>
      </c>
      <c r="C107" s="18" t="s">
        <v>1078</v>
      </c>
      <c r="D107" s="18" t="s">
        <v>1079</v>
      </c>
      <c r="E107" s="18" t="s">
        <v>1079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3"/>
        <v>A:2,40 x C:3,00 x L:3,60-3,60 x P:3.415kg</v>
      </c>
      <c r="N107" s="18" t="str">
        <f t="shared" si="2"/>
        <v>006233947</v>
      </c>
      <c r="O107" s="23">
        <v>6233947000129</v>
      </c>
      <c r="P107" s="18" t="s">
        <v>1080</v>
      </c>
      <c r="Q107" s="18" t="s">
        <v>545</v>
      </c>
      <c r="R107" s="18" t="s">
        <v>1081</v>
      </c>
    </row>
    <row r="108" spans="1:18">
      <c r="A108" s="18">
        <v>4</v>
      </c>
      <c r="B108" s="18" t="s">
        <v>135</v>
      </c>
      <c r="C108" s="18" t="s">
        <v>1078</v>
      </c>
      <c r="D108" s="18" t="s">
        <v>1082</v>
      </c>
      <c r="E108" s="18" t="s">
        <v>1082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3"/>
        <v>A:2,40 x C:3,00 x L:4,30-4,30 x P:4.210kg</v>
      </c>
      <c r="N108" s="18" t="str">
        <f t="shared" si="2"/>
        <v>016671210</v>
      </c>
      <c r="O108" s="23">
        <v>16671210000222</v>
      </c>
      <c r="P108" s="18" t="s">
        <v>1083</v>
      </c>
      <c r="Q108" s="18" t="s">
        <v>1084</v>
      </c>
      <c r="R108" s="18" t="s">
        <v>1085</v>
      </c>
    </row>
    <row r="109" spans="1:18">
      <c r="A109" s="18">
        <v>4</v>
      </c>
      <c r="B109" s="18" t="s">
        <v>135</v>
      </c>
      <c r="C109" s="18" t="s">
        <v>1078</v>
      </c>
      <c r="D109" s="18" t="s">
        <v>1086</v>
      </c>
      <c r="E109" s="18" t="s">
        <v>1086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3"/>
        <v>A:2,40 x C:3,00 x L:5,20-5,20 x P:4.940kg</v>
      </c>
      <c r="N109" s="18" t="str">
        <f t="shared" si="2"/>
        <v>016671210</v>
      </c>
      <c r="O109" s="23">
        <v>16671210000141</v>
      </c>
      <c r="P109" s="18" t="s">
        <v>1083</v>
      </c>
      <c r="Q109" s="18" t="s">
        <v>1084</v>
      </c>
      <c r="R109" s="18" t="s">
        <v>599</v>
      </c>
    </row>
    <row r="110" spans="1:18">
      <c r="A110" s="18">
        <v>4</v>
      </c>
      <c r="B110" s="18" t="s">
        <v>135</v>
      </c>
      <c r="C110" s="18" t="s">
        <v>1078</v>
      </c>
      <c r="D110" s="18" t="s">
        <v>1087</v>
      </c>
      <c r="E110" s="18" t="s">
        <v>1087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3"/>
        <v>A:2,40 x C:3,00 x L:6,20-6,20 x P:5.625kg</v>
      </c>
      <c r="N110" s="18" t="str">
        <f t="shared" si="2"/>
        <v>085004729</v>
      </c>
      <c r="O110" s="23">
        <v>85004729000199</v>
      </c>
      <c r="P110" s="18" t="s">
        <v>1088</v>
      </c>
      <c r="Q110" s="18" t="s">
        <v>1089</v>
      </c>
      <c r="R110" s="18" t="s">
        <v>599</v>
      </c>
    </row>
    <row r="111" spans="1:18">
      <c r="A111" s="18">
        <v>4</v>
      </c>
      <c r="B111" s="18" t="s">
        <v>135</v>
      </c>
      <c r="C111" s="18" t="s">
        <v>1078</v>
      </c>
      <c r="D111" s="18" t="s">
        <v>1090</v>
      </c>
      <c r="E111" s="18" t="s">
        <v>1090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3"/>
        <v>A:2,45 x C:4,10 x L:3,20-3,20 x P:3.760kg</v>
      </c>
      <c r="N111" s="18" t="str">
        <f t="shared" si="2"/>
        <v>020131578</v>
      </c>
      <c r="O111" s="23">
        <v>20131578000194</v>
      </c>
      <c r="P111" s="18" t="s">
        <v>1091</v>
      </c>
      <c r="Q111" s="18" t="s">
        <v>1092</v>
      </c>
      <c r="R111" s="18" t="s">
        <v>1004</v>
      </c>
    </row>
    <row r="112" spans="1:18">
      <c r="A112" s="18">
        <v>4</v>
      </c>
      <c r="B112" s="18" t="s">
        <v>135</v>
      </c>
      <c r="C112" s="18" t="s">
        <v>1078</v>
      </c>
      <c r="D112" s="18" t="s">
        <v>1093</v>
      </c>
      <c r="E112" s="18" t="s">
        <v>1093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3"/>
        <v>A:2,45 x C:5,00 x L:3,20-3,20 x P:4.750kg</v>
      </c>
      <c r="N112" s="18" t="str">
        <f t="shared" si="2"/>
        <v>051496564</v>
      </c>
      <c r="O112" s="23">
        <v>51496564000106</v>
      </c>
      <c r="P112" s="18" t="s">
        <v>1094</v>
      </c>
      <c r="Q112" s="18" t="s">
        <v>464</v>
      </c>
      <c r="R112" s="18" t="s">
        <v>631</v>
      </c>
    </row>
    <row r="113" spans="1:18">
      <c r="A113" s="18">
        <v>4</v>
      </c>
      <c r="B113" s="18" t="s">
        <v>135</v>
      </c>
      <c r="C113" s="18" t="s">
        <v>1078</v>
      </c>
      <c r="D113" s="18" t="s">
        <v>1095</v>
      </c>
      <c r="E113" s="18" t="s">
        <v>1095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3"/>
        <v>A:2,45 x C:6,00 x L:3,20-3,20 x P:5.190kg</v>
      </c>
      <c r="N113" s="18" t="str">
        <f t="shared" si="2"/>
        <v>037676492</v>
      </c>
      <c r="O113" s="23">
        <v>37676492000140</v>
      </c>
      <c r="P113" s="18" t="s">
        <v>1096</v>
      </c>
      <c r="Q113" s="18" t="s">
        <v>1097</v>
      </c>
      <c r="R113" s="18" t="s">
        <v>1098</v>
      </c>
    </row>
    <row r="114" spans="1:18">
      <c r="A114" s="18">
        <v>4</v>
      </c>
      <c r="B114" s="18" t="s">
        <v>135</v>
      </c>
      <c r="C114" s="18" t="s">
        <v>1078</v>
      </c>
      <c r="D114" s="18" t="s">
        <v>1099</v>
      </c>
      <c r="E114" s="18" t="s">
        <v>1099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3"/>
        <v>A:2,45 x C:7,00 x L:3,20-3,20 x P:6.025kg</v>
      </c>
      <c r="N114" s="18" t="str">
        <f t="shared" si="2"/>
        <v>014540032</v>
      </c>
      <c r="O114" s="23">
        <v>14540032000194</v>
      </c>
      <c r="P114" s="18" t="s">
        <v>1100</v>
      </c>
      <c r="Q114" s="18" t="s">
        <v>1101</v>
      </c>
      <c r="R114" s="18" t="s">
        <v>599</v>
      </c>
    </row>
    <row r="115" spans="1:18">
      <c r="A115" s="18">
        <v>4</v>
      </c>
      <c r="B115" s="18" t="s">
        <v>135</v>
      </c>
      <c r="C115" s="18" t="s">
        <v>1078</v>
      </c>
      <c r="D115" s="18" t="s">
        <v>1102</v>
      </c>
      <c r="E115" s="18" t="s">
        <v>1102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3"/>
        <v>A:2,50 x C:7,20 x L:4,00-4,00 x P:6.500kg</v>
      </c>
      <c r="N115" s="18" t="str">
        <f t="shared" si="2"/>
        <v>051859432</v>
      </c>
      <c r="O115" s="23">
        <v>51859432000193</v>
      </c>
      <c r="P115" s="18" t="s">
        <v>1103</v>
      </c>
      <c r="Q115" s="18" t="s">
        <v>1104</v>
      </c>
      <c r="R115" s="18" t="s">
        <v>1105</v>
      </c>
    </row>
    <row r="116" spans="1:18">
      <c r="A116" s="18">
        <v>4</v>
      </c>
      <c r="B116" s="18" t="s">
        <v>135</v>
      </c>
      <c r="C116" s="18" t="s">
        <v>1078</v>
      </c>
      <c r="D116" s="18" t="s">
        <v>1106</v>
      </c>
      <c r="E116" s="18" t="s">
        <v>1106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3"/>
        <v>A:2,50 x C:8,00 x L:4,00-4,00 x P:7.350kg</v>
      </c>
      <c r="N116" s="18" t="str">
        <f t="shared" si="2"/>
        <v>044139289</v>
      </c>
      <c r="O116" s="23">
        <v>44139289000108</v>
      </c>
      <c r="P116" s="18" t="s">
        <v>1107</v>
      </c>
      <c r="Q116" s="18" t="s">
        <v>1108</v>
      </c>
      <c r="R116" s="18" t="s">
        <v>1109</v>
      </c>
    </row>
    <row r="117" spans="1:18">
      <c r="A117" s="18">
        <v>4</v>
      </c>
      <c r="B117" s="18" t="s">
        <v>135</v>
      </c>
      <c r="C117" s="18" t="s">
        <v>1078</v>
      </c>
      <c r="D117" s="18" t="s">
        <v>1110</v>
      </c>
      <c r="E117" s="18" t="s">
        <v>1110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3"/>
        <v>A:2,50 x C:8,90 x L:4,00-4,00 x P:8.000kg</v>
      </c>
      <c r="N117" s="18" t="str">
        <f t="shared" si="2"/>
        <v>060968275</v>
      </c>
      <c r="O117" s="23">
        <v>60968275000145</v>
      </c>
      <c r="P117" s="18" t="s">
        <v>1111</v>
      </c>
      <c r="Q117" s="18" t="s">
        <v>1112</v>
      </c>
      <c r="R117" s="18" t="s">
        <v>762</v>
      </c>
    </row>
    <row r="118" spans="1:18">
      <c r="A118" s="18">
        <v>4</v>
      </c>
      <c r="B118" s="18" t="s">
        <v>135</v>
      </c>
      <c r="C118" s="18" t="s">
        <v>1078</v>
      </c>
      <c r="D118" s="18" t="s">
        <v>1113</v>
      </c>
      <c r="E118" s="18" t="s">
        <v>1113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3"/>
        <v>A:2,50 x C:11,65 x L:4,00-4,00 x P:13.100kg</v>
      </c>
      <c r="N118" s="18" t="str">
        <f t="shared" si="2"/>
        <v>018725298</v>
      </c>
      <c r="O118" s="23">
        <v>18725298000162</v>
      </c>
      <c r="P118" s="18" t="s">
        <v>1114</v>
      </c>
      <c r="Q118" s="18" t="s">
        <v>547</v>
      </c>
      <c r="R118" s="18" t="s">
        <v>631</v>
      </c>
    </row>
    <row r="119" spans="1:18">
      <c r="A119" s="18">
        <v>4</v>
      </c>
      <c r="B119" s="18" t="s">
        <v>135</v>
      </c>
      <c r="C119" s="18" t="s">
        <v>1078</v>
      </c>
      <c r="D119" s="18" t="s">
        <v>1115</v>
      </c>
      <c r="E119" s="18" t="s">
        <v>1115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3"/>
        <v>A:2,50 x C:13,45 x L:4,00-4,00 x P:14.100kg</v>
      </c>
      <c r="N119" s="18" t="str">
        <f t="shared" si="2"/>
        <v>072032824</v>
      </c>
      <c r="O119" s="23">
        <v>72032824000154</v>
      </c>
      <c r="P119" s="18" t="s">
        <v>1116</v>
      </c>
      <c r="Q119" s="18" t="s">
        <v>1117</v>
      </c>
      <c r="R119" s="18" t="s">
        <v>599</v>
      </c>
    </row>
    <row r="120" spans="1:18">
      <c r="A120" s="18">
        <v>4</v>
      </c>
      <c r="B120" s="18" t="s">
        <v>135</v>
      </c>
      <c r="C120" s="18" t="s">
        <v>1078</v>
      </c>
      <c r="D120" s="18" t="s">
        <v>1118</v>
      </c>
      <c r="E120" s="18" t="s">
        <v>1118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3"/>
        <v>A:2,50 x C:14,35 x L:4,00-4,00 x P:14.950kg</v>
      </c>
      <c r="N120" s="18" t="str">
        <f t="shared" si="2"/>
        <v>010741822</v>
      </c>
      <c r="O120" s="23">
        <v>10741822000187</v>
      </c>
      <c r="P120" s="18" t="s">
        <v>1119</v>
      </c>
      <c r="Q120" s="18" t="s">
        <v>1120</v>
      </c>
      <c r="R120" s="18" t="s">
        <v>599</v>
      </c>
    </row>
    <row r="121" spans="1:18">
      <c r="A121" s="18">
        <v>4</v>
      </c>
      <c r="B121" s="18" t="s">
        <v>135</v>
      </c>
      <c r="C121" s="18" t="s">
        <v>1078</v>
      </c>
      <c r="D121" s="18" t="s">
        <v>1121</v>
      </c>
      <c r="E121" s="18" t="s">
        <v>1121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3"/>
        <v>A:2,50 x C:15,55 x L:4,00-4,00 x P:16.800kg</v>
      </c>
      <c r="N121" s="18" t="str">
        <f t="shared" si="2"/>
        <v>019082116</v>
      </c>
      <c r="O121" s="23">
        <v>19082116000145</v>
      </c>
      <c r="P121" s="18" t="s">
        <v>1122</v>
      </c>
      <c r="Q121" s="18" t="s">
        <v>1123</v>
      </c>
      <c r="R121" s="18" t="s">
        <v>825</v>
      </c>
    </row>
    <row r="122" spans="1:18">
      <c r="A122" s="18">
        <v>4</v>
      </c>
      <c r="B122" s="18" t="s">
        <v>135</v>
      </c>
      <c r="C122" s="18" t="s">
        <v>1078</v>
      </c>
      <c r="D122" s="18" t="s">
        <v>1124</v>
      </c>
      <c r="E122" s="18" t="s">
        <v>1124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3"/>
        <v>A:3,70 x C:12,50 x L:6,20-6,20 x P:14.144kg</v>
      </c>
      <c r="N122" s="18" t="str">
        <f t="shared" si="2"/>
        <v>021272666</v>
      </c>
      <c r="O122" s="23">
        <v>21272666000179</v>
      </c>
      <c r="P122" s="18" t="s">
        <v>1125</v>
      </c>
      <c r="Q122" s="18" t="s">
        <v>1126</v>
      </c>
      <c r="R122" s="18" t="s">
        <v>825</v>
      </c>
    </row>
    <row r="123" spans="1:18">
      <c r="A123" s="18">
        <v>4</v>
      </c>
      <c r="B123" s="18" t="s">
        <v>135</v>
      </c>
      <c r="C123" s="18" t="s">
        <v>1078</v>
      </c>
      <c r="D123" s="18" t="s">
        <v>1127</v>
      </c>
      <c r="E123" s="18" t="s">
        <v>1127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3"/>
        <v>A:3,70 x C:12,50 x L:6,20-6,20 x P:15.980kg</v>
      </c>
      <c r="N123" s="18" t="str">
        <f t="shared" si="2"/>
        <v>020110520</v>
      </c>
      <c r="O123" s="23">
        <v>20110520000164</v>
      </c>
      <c r="P123" s="18" t="s">
        <v>1128</v>
      </c>
      <c r="Q123" s="18" t="s">
        <v>1129</v>
      </c>
      <c r="R123" s="18" t="s">
        <v>599</v>
      </c>
    </row>
    <row r="124" spans="1:18">
      <c r="A124" s="18">
        <v>4</v>
      </c>
      <c r="B124" s="18" t="s">
        <v>135</v>
      </c>
      <c r="C124" s="18" t="s">
        <v>1078</v>
      </c>
      <c r="D124" s="18" t="s">
        <v>1130</v>
      </c>
      <c r="E124" s="18" t="s">
        <v>1130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3"/>
        <v>A:3,70 x C:16,20 x L:6,20-6,20 x P:21.279kg</v>
      </c>
      <c r="N124" s="18" t="str">
        <f t="shared" si="2"/>
        <v>004770253</v>
      </c>
      <c r="O124" s="23">
        <v>4770253000103</v>
      </c>
      <c r="P124" s="18" t="s">
        <v>1131</v>
      </c>
      <c r="Q124" s="18" t="s">
        <v>1132</v>
      </c>
      <c r="R124" s="18" t="s">
        <v>1133</v>
      </c>
    </row>
    <row r="125" spans="1:18">
      <c r="A125" s="18">
        <v>4</v>
      </c>
      <c r="B125" s="18" t="s">
        <v>135</v>
      </c>
      <c r="C125" s="18" t="s">
        <v>1078</v>
      </c>
      <c r="D125" s="18" t="s">
        <v>1134</v>
      </c>
      <c r="E125" s="18" t="s">
        <v>1134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3"/>
        <v>A:3,70 x C:18,30 x L:6,20-6,20 x P:29.500kg</v>
      </c>
      <c r="N125" s="18" t="str">
        <f t="shared" si="2"/>
        <v>009167582</v>
      </c>
      <c r="O125" s="23">
        <v>9167582000170</v>
      </c>
      <c r="P125" s="18" t="s">
        <v>1135</v>
      </c>
      <c r="Q125" s="18" t="s">
        <v>1136</v>
      </c>
      <c r="R125" s="18" t="s">
        <v>599</v>
      </c>
    </row>
    <row r="126" spans="1:18">
      <c r="A126" s="18">
        <v>5</v>
      </c>
      <c r="B126" s="18" t="s">
        <v>136</v>
      </c>
      <c r="C126" s="18" t="s">
        <v>1137</v>
      </c>
      <c r="D126" s="18" t="s">
        <v>1138</v>
      </c>
      <c r="E126" s="18" t="s">
        <v>1139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3"/>
        <v>A:3,34 x C:7,00 x L:2,72-3,30 x P:9.703kg</v>
      </c>
      <c r="N126" s="18" t="str">
        <f t="shared" si="2"/>
        <v>000495608</v>
      </c>
      <c r="O126" s="23">
        <v>495608000134</v>
      </c>
      <c r="P126" s="18" t="s">
        <v>1140</v>
      </c>
      <c r="Q126" s="18" t="s">
        <v>539</v>
      </c>
      <c r="R126" s="18" t="s">
        <v>599</v>
      </c>
    </row>
    <row r="127" spans="1:18">
      <c r="A127" s="18">
        <v>5</v>
      </c>
      <c r="B127" s="18" t="s">
        <v>136</v>
      </c>
      <c r="C127" s="18" t="s">
        <v>1137</v>
      </c>
      <c r="D127" s="18" t="s">
        <v>1141</v>
      </c>
      <c r="E127" s="18" t="s">
        <v>1142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3"/>
        <v>A:3,35 x C:7,50 x L:3,12-3,94 x P:10.000kg</v>
      </c>
      <c r="N127" s="18" t="str">
        <f t="shared" si="2"/>
        <v>033254429</v>
      </c>
      <c r="O127" s="23">
        <v>33254429000164</v>
      </c>
      <c r="P127" s="18" t="s">
        <v>1143</v>
      </c>
      <c r="Q127" s="18" t="s">
        <v>1144</v>
      </c>
      <c r="R127" s="18" t="s">
        <v>607</v>
      </c>
    </row>
    <row r="128" spans="1:18">
      <c r="A128" s="18">
        <v>5</v>
      </c>
      <c r="B128" s="18" t="s">
        <v>136</v>
      </c>
      <c r="C128" s="18" t="s">
        <v>1137</v>
      </c>
      <c r="D128" s="18" t="s">
        <v>1145</v>
      </c>
      <c r="E128" s="18" t="s">
        <v>1146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3"/>
        <v>A:3,35 x C:7,50 x L:3,12-3,94 x P:10.200kg</v>
      </c>
      <c r="N128" s="18" t="str">
        <f t="shared" si="2"/>
        <v>030877442</v>
      </c>
      <c r="O128" s="23">
        <v>30877442000181</v>
      </c>
      <c r="P128" s="18" t="s">
        <v>1147</v>
      </c>
      <c r="Q128" s="18" t="s">
        <v>509</v>
      </c>
      <c r="R128" s="18" t="s">
        <v>840</v>
      </c>
    </row>
    <row r="129" spans="1:18">
      <c r="A129" s="18">
        <v>5</v>
      </c>
      <c r="B129" s="18" t="s">
        <v>136</v>
      </c>
      <c r="C129" s="18" t="s">
        <v>1137</v>
      </c>
      <c r="D129" s="18" t="s">
        <v>1148</v>
      </c>
      <c r="E129" s="18" t="s">
        <v>1149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3"/>
        <v>A:3,36 x C:7,80 x L:2,29-3,05 x P:8.350kg</v>
      </c>
      <c r="N129" s="18" t="str">
        <f t="shared" si="2"/>
        <v>020165766</v>
      </c>
      <c r="O129" s="23">
        <v>20165766000133</v>
      </c>
      <c r="P129" s="18" t="s">
        <v>1150</v>
      </c>
      <c r="Q129" s="18" t="s">
        <v>1151</v>
      </c>
      <c r="R129" s="18" t="s">
        <v>599</v>
      </c>
    </row>
    <row r="130" spans="1:18">
      <c r="A130" s="18">
        <v>5</v>
      </c>
      <c r="B130" s="18" t="s">
        <v>136</v>
      </c>
      <c r="C130" s="18" t="s">
        <v>1078</v>
      </c>
      <c r="D130" s="18" t="s">
        <v>1152</v>
      </c>
      <c r="E130" s="18" t="s">
        <v>1152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3"/>
        <v>A:3,35 x C:6,50 x L:2,80-3,20 x P:8.100kg</v>
      </c>
      <c r="N130" s="18" t="str">
        <f t="shared" ref="N130:N193" si="4">"0"&amp;LEFT(TEXT(SUBSTITUTE(SUBSTITUTE(SUBSTITUTE(O130,".",""),"/",""),"-",""),"00000000000000"),8)</f>
        <v>002453308</v>
      </c>
      <c r="O130" s="23">
        <v>2453308000118</v>
      </c>
      <c r="P130" s="18" t="s">
        <v>1153</v>
      </c>
      <c r="Q130" s="18" t="s">
        <v>1154</v>
      </c>
      <c r="R130" s="18" t="s">
        <v>762</v>
      </c>
    </row>
    <row r="131" spans="1:18">
      <c r="A131" s="18">
        <v>5</v>
      </c>
      <c r="B131" s="18" t="s">
        <v>136</v>
      </c>
      <c r="C131" s="18" t="s">
        <v>1078</v>
      </c>
      <c r="D131" s="18" t="s">
        <v>1155</v>
      </c>
      <c r="E131" s="18" t="s">
        <v>1155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 t="shared" si="4"/>
        <v>053102168</v>
      </c>
      <c r="O131" s="23">
        <v>53102168000174</v>
      </c>
      <c r="P131" s="18" t="s">
        <v>1156</v>
      </c>
      <c r="Q131" s="18" t="s">
        <v>1157</v>
      </c>
      <c r="R131" s="18" t="s">
        <v>1158</v>
      </c>
    </row>
    <row r="132" spans="1:18">
      <c r="A132" s="18">
        <v>6</v>
      </c>
      <c r="B132" s="18" t="s">
        <v>1159</v>
      </c>
      <c r="C132" s="18" t="s">
        <v>1160</v>
      </c>
      <c r="D132" s="18" t="s">
        <v>1161</v>
      </c>
      <c r="E132" s="18" t="s">
        <v>1161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5"/>
        <v>A:3,90 x C:6,50 x L:3,20-3,50 x P:15.000kg</v>
      </c>
      <c r="N132" s="18" t="str">
        <f t="shared" si="4"/>
        <v>051169694</v>
      </c>
      <c r="O132" s="23">
        <v>51169694000126</v>
      </c>
      <c r="P132" s="18" t="s">
        <v>1162</v>
      </c>
      <c r="Q132" s="18" t="s">
        <v>1163</v>
      </c>
      <c r="R132" s="18" t="s">
        <v>1164</v>
      </c>
    </row>
    <row r="133" spans="1:18">
      <c r="A133" s="18">
        <v>6</v>
      </c>
      <c r="B133" s="18" t="s">
        <v>1159</v>
      </c>
      <c r="C133" s="18" t="s">
        <v>1160</v>
      </c>
      <c r="D133" s="18" t="s">
        <v>1165</v>
      </c>
      <c r="E133" s="18" t="s">
        <v>1165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5"/>
        <v>A:3,90 x C:6,50 x L:3,20-3,50 x P:15.500kg</v>
      </c>
      <c r="N133" s="18" t="str">
        <f t="shared" si="4"/>
        <v>003162671</v>
      </c>
      <c r="O133" s="23">
        <v>3162671000147</v>
      </c>
      <c r="P133" s="18" t="s">
        <v>1166</v>
      </c>
      <c r="Q133" s="18" t="s">
        <v>1167</v>
      </c>
      <c r="R133" s="18" t="s">
        <v>599</v>
      </c>
    </row>
    <row r="134" spans="1:18">
      <c r="A134" s="18">
        <v>6</v>
      </c>
      <c r="B134" s="18" t="s">
        <v>1159</v>
      </c>
      <c r="C134" s="18" t="s">
        <v>1160</v>
      </c>
      <c r="D134" s="18" t="s">
        <v>1168</v>
      </c>
      <c r="E134" s="18" t="s">
        <v>1168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5"/>
        <v>A:3,90 x C:6,60 x L:3,20-3,70 x P:16.000kg</v>
      </c>
      <c r="N134" s="18" t="str">
        <f t="shared" si="4"/>
        <v>004421739</v>
      </c>
      <c r="O134" s="23">
        <v>4421739000128</v>
      </c>
      <c r="P134" s="18" t="s">
        <v>1169</v>
      </c>
      <c r="Q134" s="18" t="s">
        <v>1170</v>
      </c>
      <c r="R134" s="18" t="s">
        <v>631</v>
      </c>
    </row>
    <row r="135" spans="1:18">
      <c r="A135" s="18">
        <v>7</v>
      </c>
      <c r="B135" s="18" t="s">
        <v>357</v>
      </c>
      <c r="C135" s="18" t="s">
        <v>1171</v>
      </c>
      <c r="D135" s="18" t="s">
        <v>1172</v>
      </c>
      <c r="E135" s="18" t="s">
        <v>1172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5"/>
        <v>A:1,00 x C:9,70 x L:2,50-2,50 x P:500kg</v>
      </c>
      <c r="N135" s="18" t="str">
        <f t="shared" si="4"/>
        <v>004421739</v>
      </c>
      <c r="O135" s="23">
        <v>4421739000390</v>
      </c>
      <c r="P135" s="18" t="s">
        <v>1169</v>
      </c>
      <c r="Q135" s="18" t="s">
        <v>1170</v>
      </c>
      <c r="R135" s="18" t="s">
        <v>631</v>
      </c>
    </row>
    <row r="136" spans="1:18">
      <c r="A136" s="18">
        <v>3</v>
      </c>
      <c r="B136" s="18" t="s">
        <v>137</v>
      </c>
      <c r="C136" s="18" t="s">
        <v>1061</v>
      </c>
      <c r="D136" s="18" t="s">
        <v>1173</v>
      </c>
      <c r="E136" s="18" t="s">
        <v>1173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5"/>
        <v>A:1,60 x C:7,60 x L:1,80-1,80 x P:2.100kg</v>
      </c>
      <c r="N136" s="18" t="str">
        <f t="shared" si="4"/>
        <v>004421739</v>
      </c>
      <c r="O136" s="23">
        <v>4421739000470</v>
      </c>
      <c r="P136" s="18" t="s">
        <v>1169</v>
      </c>
      <c r="Q136" s="18" t="s">
        <v>1170</v>
      </c>
      <c r="R136" s="18" t="s">
        <v>631</v>
      </c>
    </row>
    <row r="137" spans="1:18">
      <c r="N137" s="18" t="str">
        <f t="shared" si="4"/>
        <v>082332735</v>
      </c>
      <c r="O137" s="23">
        <v>82332735000500</v>
      </c>
      <c r="P137" s="18" t="s">
        <v>1174</v>
      </c>
      <c r="Q137" s="18" t="s">
        <v>1175</v>
      </c>
      <c r="R137" s="18" t="s">
        <v>599</v>
      </c>
    </row>
    <row r="138" spans="1:18">
      <c r="N138" s="18" t="str">
        <f t="shared" si="4"/>
        <v>082332735</v>
      </c>
      <c r="O138" s="23">
        <v>82332735000420</v>
      </c>
      <c r="P138" s="18" t="s">
        <v>1176</v>
      </c>
      <c r="Q138" s="18" t="s">
        <v>1175</v>
      </c>
      <c r="R138" s="18" t="s">
        <v>599</v>
      </c>
    </row>
    <row r="139" spans="1:18">
      <c r="N139" s="18" t="str">
        <f t="shared" si="4"/>
        <v>082332735</v>
      </c>
      <c r="O139" s="23">
        <v>82332735000268</v>
      </c>
      <c r="P139" s="18" t="s">
        <v>1177</v>
      </c>
      <c r="Q139" s="18" t="s">
        <v>1175</v>
      </c>
      <c r="R139" s="18" t="s">
        <v>599</v>
      </c>
    </row>
    <row r="140" spans="1:18">
      <c r="N140" s="18" t="str">
        <f t="shared" si="4"/>
        <v>082332735</v>
      </c>
      <c r="O140" s="23">
        <v>82332735000853</v>
      </c>
      <c r="P140" s="18" t="s">
        <v>1177</v>
      </c>
      <c r="Q140" s="18" t="s">
        <v>1175</v>
      </c>
      <c r="R140" s="18" t="s">
        <v>599</v>
      </c>
    </row>
    <row r="141" spans="1:18">
      <c r="N141" s="18" t="str">
        <f t="shared" si="4"/>
        <v>082332735</v>
      </c>
      <c r="O141" s="23">
        <v>82332735000349</v>
      </c>
      <c r="P141" s="18" t="s">
        <v>1178</v>
      </c>
      <c r="Q141" s="18" t="s">
        <v>1175</v>
      </c>
      <c r="R141" s="18" t="s">
        <v>599</v>
      </c>
    </row>
    <row r="142" spans="1:18">
      <c r="N142" s="18" t="str">
        <f t="shared" si="4"/>
        <v>082332735</v>
      </c>
      <c r="O142" s="23">
        <v>82332735000187</v>
      </c>
      <c r="P142" s="18" t="s">
        <v>1179</v>
      </c>
      <c r="Q142" s="18" t="s">
        <v>1175</v>
      </c>
      <c r="R142" s="18" t="s">
        <v>599</v>
      </c>
    </row>
    <row r="143" spans="1:18">
      <c r="N143" s="18" t="str">
        <f t="shared" si="4"/>
        <v>011780069</v>
      </c>
      <c r="O143" s="23">
        <v>11780069000100</v>
      </c>
      <c r="P143" s="18" t="s">
        <v>1180</v>
      </c>
      <c r="Q143" s="18" t="s">
        <v>1181</v>
      </c>
      <c r="R143" s="18" t="s">
        <v>599</v>
      </c>
    </row>
    <row r="144" spans="1:18">
      <c r="N144" s="18" t="str">
        <f t="shared" si="4"/>
        <v>059354979</v>
      </c>
      <c r="O144" s="23">
        <v>59354979000149</v>
      </c>
      <c r="P144" s="18" t="s">
        <v>1182</v>
      </c>
      <c r="Q144" s="18" t="s">
        <v>1183</v>
      </c>
      <c r="R144" s="18" t="s">
        <v>599</v>
      </c>
    </row>
    <row r="145" spans="14:18">
      <c r="N145" s="18" t="str">
        <f t="shared" si="4"/>
        <v>080227796</v>
      </c>
      <c r="O145" s="23">
        <v>80227796006785</v>
      </c>
      <c r="P145" s="18" t="s">
        <v>1184</v>
      </c>
      <c r="Q145" s="18" t="s">
        <v>482</v>
      </c>
      <c r="R145" s="18" t="s">
        <v>1185</v>
      </c>
    </row>
    <row r="146" spans="14:18">
      <c r="N146" s="18" t="str">
        <f t="shared" si="4"/>
        <v>080227796</v>
      </c>
      <c r="O146" s="23">
        <v>80227796005894</v>
      </c>
      <c r="P146" s="18" t="s">
        <v>1186</v>
      </c>
      <c r="Q146" s="18" t="s">
        <v>482</v>
      </c>
      <c r="R146" s="18" t="s">
        <v>725</v>
      </c>
    </row>
    <row r="147" spans="14:18">
      <c r="N147" s="18" t="str">
        <f t="shared" si="4"/>
        <v>080227796</v>
      </c>
      <c r="O147" s="23">
        <v>80227796006270</v>
      </c>
      <c r="P147" s="18" t="s">
        <v>1187</v>
      </c>
      <c r="Q147" s="18" t="s">
        <v>482</v>
      </c>
      <c r="R147" s="18" t="s">
        <v>1188</v>
      </c>
    </row>
    <row r="148" spans="14:18">
      <c r="N148" s="18" t="str">
        <f t="shared" si="4"/>
        <v>080227796</v>
      </c>
      <c r="O148" s="23">
        <v>80227796000159</v>
      </c>
      <c r="P148" s="18" t="s">
        <v>1187</v>
      </c>
      <c r="Q148" s="18" t="s">
        <v>482</v>
      </c>
      <c r="R148" s="18" t="s">
        <v>599</v>
      </c>
    </row>
    <row r="149" spans="14:18">
      <c r="N149" s="18" t="str">
        <f t="shared" si="4"/>
        <v>080227796</v>
      </c>
      <c r="O149" s="23">
        <v>80227796005118</v>
      </c>
      <c r="P149" s="18" t="s">
        <v>1187</v>
      </c>
      <c r="Q149" s="18" t="s">
        <v>482</v>
      </c>
      <c r="R149" s="18" t="s">
        <v>1189</v>
      </c>
    </row>
    <row r="150" spans="14:18">
      <c r="N150" s="18" t="str">
        <f t="shared" si="4"/>
        <v>080227796</v>
      </c>
      <c r="O150" s="23">
        <v>80227796001473</v>
      </c>
      <c r="P150" s="18" t="s">
        <v>1187</v>
      </c>
      <c r="Q150" s="18" t="s">
        <v>482</v>
      </c>
      <c r="R150" s="18" t="s">
        <v>1109</v>
      </c>
    </row>
    <row r="151" spans="14:18">
      <c r="N151" s="18" t="str">
        <f t="shared" si="4"/>
        <v>013809515</v>
      </c>
      <c r="O151" s="23">
        <v>13809515000189</v>
      </c>
      <c r="P151" s="18" t="s">
        <v>1190</v>
      </c>
      <c r="Q151" s="18" t="s">
        <v>1191</v>
      </c>
      <c r="R151" s="18" t="s">
        <v>825</v>
      </c>
    </row>
    <row r="152" spans="14:18">
      <c r="N152" s="18" t="str">
        <f t="shared" si="4"/>
        <v>044336898</v>
      </c>
      <c r="O152" s="23">
        <v>44336898000149</v>
      </c>
      <c r="P152" s="18" t="s">
        <v>1192</v>
      </c>
      <c r="Q152" s="18" t="s">
        <v>1193</v>
      </c>
      <c r="R152" s="18" t="s">
        <v>599</v>
      </c>
    </row>
    <row r="153" spans="14:18">
      <c r="N153" s="18" t="str">
        <f t="shared" si="4"/>
        <v>037439159</v>
      </c>
      <c r="O153" s="23">
        <v>37439159000117</v>
      </c>
      <c r="P153" s="18" t="s">
        <v>1194</v>
      </c>
      <c r="Q153" s="18" t="s">
        <v>1195</v>
      </c>
      <c r="R153" s="18" t="s">
        <v>825</v>
      </c>
    </row>
    <row r="154" spans="14:18">
      <c r="N154" s="18" t="str">
        <f t="shared" si="4"/>
        <v>012831793</v>
      </c>
      <c r="O154" s="23">
        <v>12831793000170</v>
      </c>
      <c r="P154" s="18" t="s">
        <v>1196</v>
      </c>
      <c r="Q154" s="18" t="s">
        <v>1197</v>
      </c>
      <c r="R154" s="18" t="s">
        <v>599</v>
      </c>
    </row>
    <row r="155" spans="14:18">
      <c r="N155" s="18" t="str">
        <f t="shared" si="4"/>
        <v>058643549</v>
      </c>
      <c r="O155" s="23">
        <v>58643549000184</v>
      </c>
      <c r="P155" s="18" t="s">
        <v>1198</v>
      </c>
      <c r="Q155" s="18" t="s">
        <v>1199</v>
      </c>
      <c r="R155" s="18" t="s">
        <v>599</v>
      </c>
    </row>
    <row r="156" spans="14:18">
      <c r="N156" s="18" t="str">
        <f t="shared" si="4"/>
        <v>035912495</v>
      </c>
      <c r="O156" s="23">
        <v>35912495000452</v>
      </c>
      <c r="P156" s="18" t="s">
        <v>1200</v>
      </c>
      <c r="Q156" s="18" t="s">
        <v>1201</v>
      </c>
      <c r="R156" s="18" t="s">
        <v>1052</v>
      </c>
    </row>
    <row r="157" spans="14:18">
      <c r="N157" s="18" t="str">
        <f t="shared" si="4"/>
        <v>044914992</v>
      </c>
      <c r="O157" s="23">
        <v>44914992002424</v>
      </c>
      <c r="P157" s="18" t="s">
        <v>1202</v>
      </c>
      <c r="Q157" s="18" t="s">
        <v>1201</v>
      </c>
      <c r="R157" s="18" t="s">
        <v>897</v>
      </c>
    </row>
    <row r="158" spans="14:18">
      <c r="N158" s="18" t="str">
        <f t="shared" si="4"/>
        <v>044914992</v>
      </c>
      <c r="O158" s="23">
        <v>44914992003315</v>
      </c>
      <c r="P158" s="18" t="s">
        <v>1203</v>
      </c>
      <c r="Q158" s="18" t="s">
        <v>1201</v>
      </c>
      <c r="R158" s="18" t="s">
        <v>1204</v>
      </c>
    </row>
    <row r="159" spans="14:18">
      <c r="N159" s="18" t="str">
        <f t="shared" si="4"/>
        <v>044914992</v>
      </c>
      <c r="O159" s="23">
        <v>44914992003820</v>
      </c>
      <c r="P159" s="18" t="s">
        <v>1203</v>
      </c>
      <c r="Q159" s="18" t="s">
        <v>1201</v>
      </c>
      <c r="R159" s="18" t="s">
        <v>1052</v>
      </c>
    </row>
    <row r="160" spans="14:18">
      <c r="N160" s="18" t="str">
        <f t="shared" si="4"/>
        <v>044914992</v>
      </c>
      <c r="O160" s="23">
        <v>44914992001886</v>
      </c>
      <c r="P160" s="18" t="s">
        <v>1205</v>
      </c>
      <c r="Q160" s="18" t="s">
        <v>1201</v>
      </c>
      <c r="R160" s="18" t="s">
        <v>1206</v>
      </c>
    </row>
    <row r="161" spans="14:18">
      <c r="N161" s="18" t="str">
        <f t="shared" si="4"/>
        <v>044914992</v>
      </c>
      <c r="O161" s="23">
        <v>44914992003668</v>
      </c>
      <c r="P161" s="18" t="s">
        <v>1203</v>
      </c>
      <c r="Q161" s="18" t="s">
        <v>1201</v>
      </c>
      <c r="R161" s="18" t="s">
        <v>1207</v>
      </c>
    </row>
    <row r="162" spans="14:18">
      <c r="N162" s="18" t="str">
        <f t="shared" si="4"/>
        <v>044914992</v>
      </c>
      <c r="O162" s="23">
        <v>44914992001703</v>
      </c>
      <c r="P162" s="18" t="s">
        <v>1208</v>
      </c>
      <c r="Q162" s="18" t="s">
        <v>1201</v>
      </c>
      <c r="R162" s="18" t="s">
        <v>789</v>
      </c>
    </row>
    <row r="163" spans="14:18">
      <c r="N163" s="18" t="str">
        <f t="shared" si="4"/>
        <v>044914992</v>
      </c>
      <c r="O163" s="23">
        <v>44914992002181</v>
      </c>
      <c r="P163" s="18" t="s">
        <v>1209</v>
      </c>
      <c r="Q163" s="18" t="s">
        <v>1201</v>
      </c>
      <c r="R163" s="18" t="s">
        <v>1210</v>
      </c>
    </row>
    <row r="164" spans="14:18">
      <c r="N164" s="18" t="str">
        <f t="shared" si="4"/>
        <v>044914992</v>
      </c>
      <c r="O164" s="23">
        <v>44914992002777</v>
      </c>
      <c r="P164" s="18" t="s">
        <v>1208</v>
      </c>
      <c r="Q164" s="18" t="s">
        <v>1201</v>
      </c>
      <c r="R164" s="18" t="s">
        <v>909</v>
      </c>
    </row>
    <row r="165" spans="14:18">
      <c r="N165" s="18" t="str">
        <f t="shared" si="4"/>
        <v>044914992</v>
      </c>
      <c r="O165" s="23">
        <v>44914992000138</v>
      </c>
      <c r="P165" s="18" t="s">
        <v>1211</v>
      </c>
      <c r="Q165" s="18" t="s">
        <v>1201</v>
      </c>
      <c r="R165" s="18" t="s">
        <v>1212</v>
      </c>
    </row>
    <row r="166" spans="14:18">
      <c r="N166" s="18" t="str">
        <f t="shared" si="4"/>
        <v>044914992</v>
      </c>
      <c r="O166" s="23">
        <v>44914992001371</v>
      </c>
      <c r="P166" s="18" t="s">
        <v>1213</v>
      </c>
      <c r="Q166" s="18" t="s">
        <v>1201</v>
      </c>
      <c r="R166" s="18" t="s">
        <v>1109</v>
      </c>
    </row>
    <row r="167" spans="14:18">
      <c r="N167" s="18" t="str">
        <f t="shared" si="4"/>
        <v>044914992</v>
      </c>
      <c r="O167" s="23">
        <v>44914992001290</v>
      </c>
      <c r="P167" s="18" t="s">
        <v>1214</v>
      </c>
      <c r="Q167" s="18" t="s">
        <v>1201</v>
      </c>
      <c r="R167" s="18" t="s">
        <v>1215</v>
      </c>
    </row>
    <row r="168" spans="14:18">
      <c r="N168" s="18" t="str">
        <f t="shared" si="4"/>
        <v>010680844</v>
      </c>
      <c r="O168" s="23">
        <v>10680844000184</v>
      </c>
      <c r="P168" s="18" t="s">
        <v>1216</v>
      </c>
      <c r="Q168" s="18" t="s">
        <v>1217</v>
      </c>
      <c r="R168" s="18" t="s">
        <v>599</v>
      </c>
    </row>
    <row r="169" spans="14:18">
      <c r="N169" s="18" t="str">
        <f t="shared" si="4"/>
        <v>038126289</v>
      </c>
      <c r="O169" s="23">
        <v>38126289000162</v>
      </c>
      <c r="P169" s="18" t="s">
        <v>1218</v>
      </c>
      <c r="Q169" s="18" t="s">
        <v>1219</v>
      </c>
      <c r="R169" s="18" t="s">
        <v>599</v>
      </c>
    </row>
    <row r="170" spans="14:18">
      <c r="N170" s="18" t="str">
        <f t="shared" si="4"/>
        <v>034355001</v>
      </c>
      <c r="O170" s="23">
        <v>34355001000170</v>
      </c>
      <c r="P170" s="18" t="s">
        <v>1220</v>
      </c>
      <c r="Q170" s="18" t="s">
        <v>1221</v>
      </c>
      <c r="R170" s="18" t="s">
        <v>840</v>
      </c>
    </row>
    <row r="171" spans="14:18">
      <c r="N171" s="18" t="str">
        <f t="shared" si="4"/>
        <v>032752387</v>
      </c>
      <c r="O171" s="23">
        <v>32752387000129</v>
      </c>
      <c r="P171" s="18" t="s">
        <v>1222</v>
      </c>
      <c r="Q171" s="18" t="s">
        <v>1223</v>
      </c>
      <c r="R171" s="18" t="s">
        <v>652</v>
      </c>
    </row>
    <row r="172" spans="14:18">
      <c r="N172" s="18" t="str">
        <f t="shared" si="4"/>
        <v>007424946</v>
      </c>
      <c r="O172" s="23">
        <v>7424946000124</v>
      </c>
      <c r="P172" s="18" t="s">
        <v>1224</v>
      </c>
      <c r="Q172" s="18" t="s">
        <v>1225</v>
      </c>
      <c r="R172" s="18" t="s">
        <v>599</v>
      </c>
    </row>
    <row r="173" spans="14:18">
      <c r="N173" s="18" t="str">
        <f t="shared" si="4"/>
        <v>010273940</v>
      </c>
      <c r="O173" s="23">
        <v>10273940000108</v>
      </c>
      <c r="P173" s="18" t="s">
        <v>1226</v>
      </c>
      <c r="Q173" s="18" t="s">
        <v>488</v>
      </c>
      <c r="R173" s="18" t="s">
        <v>599</v>
      </c>
    </row>
    <row r="174" spans="14:18">
      <c r="N174" s="18" t="str">
        <f t="shared" si="4"/>
        <v>021915466</v>
      </c>
      <c r="O174" s="23" t="s">
        <v>1227</v>
      </c>
      <c r="P174" s="18" t="s">
        <v>1228</v>
      </c>
      <c r="Q174" s="18" t="s">
        <v>1229</v>
      </c>
      <c r="R174" s="18" t="s">
        <v>1230</v>
      </c>
    </row>
    <row r="175" spans="14:18">
      <c r="N175" s="18" t="str">
        <f t="shared" si="4"/>
        <v>006338414</v>
      </c>
      <c r="O175" s="23">
        <v>6338414000101</v>
      </c>
      <c r="P175" s="18" t="s">
        <v>1231</v>
      </c>
      <c r="Q175" s="18" t="s">
        <v>1232</v>
      </c>
      <c r="R175" s="18" t="s">
        <v>694</v>
      </c>
    </row>
    <row r="176" spans="14:18">
      <c r="N176" s="18" t="str">
        <f t="shared" si="4"/>
        <v>032878844</v>
      </c>
      <c r="O176" s="23">
        <v>32878844000126</v>
      </c>
      <c r="P176" s="18" t="s">
        <v>1233</v>
      </c>
      <c r="Q176" s="18" t="s">
        <v>470</v>
      </c>
      <c r="R176" s="18" t="s">
        <v>840</v>
      </c>
    </row>
    <row r="177" spans="14:18">
      <c r="N177" s="18" t="str">
        <f t="shared" si="4"/>
        <v>002343801</v>
      </c>
      <c r="O177" s="23">
        <v>2343801000185</v>
      </c>
      <c r="P177" s="18" t="s">
        <v>1234</v>
      </c>
      <c r="Q177" s="18" t="s">
        <v>1235</v>
      </c>
      <c r="R177" s="18" t="s">
        <v>1236</v>
      </c>
    </row>
    <row r="178" spans="14:18">
      <c r="N178" s="18" t="str">
        <f t="shared" si="4"/>
        <v>002343801</v>
      </c>
      <c r="O178" s="23">
        <v>2343801000690</v>
      </c>
      <c r="P178" s="18" t="s">
        <v>1234</v>
      </c>
      <c r="Q178" s="18" t="s">
        <v>1235</v>
      </c>
      <c r="R178" s="18" t="s">
        <v>599</v>
      </c>
    </row>
    <row r="179" spans="14:18">
      <c r="N179" s="18" t="str">
        <f t="shared" si="4"/>
        <v>024586169</v>
      </c>
      <c r="O179" s="23">
        <v>24586169000133</v>
      </c>
      <c r="P179" s="18" t="s">
        <v>1237</v>
      </c>
      <c r="Q179" s="18" t="s">
        <v>1238</v>
      </c>
      <c r="R179" s="18" t="s">
        <v>631</v>
      </c>
    </row>
    <row r="180" spans="14:18">
      <c r="N180" s="18" t="str">
        <f t="shared" si="4"/>
        <v>058145329</v>
      </c>
      <c r="O180" s="23">
        <v>58145329000120</v>
      </c>
      <c r="P180" s="18" t="s">
        <v>1239</v>
      </c>
      <c r="Q180" s="18" t="s">
        <v>1240</v>
      </c>
      <c r="R180" s="18" t="s">
        <v>631</v>
      </c>
    </row>
    <row r="181" spans="14:18">
      <c r="N181" s="18" t="str">
        <f t="shared" si="4"/>
        <v>036015029</v>
      </c>
      <c r="O181" s="23">
        <v>36015029000194</v>
      </c>
      <c r="P181" s="18" t="s">
        <v>1241</v>
      </c>
      <c r="Q181" s="18" t="s">
        <v>1242</v>
      </c>
      <c r="R181" s="18" t="s">
        <v>599</v>
      </c>
    </row>
    <row r="182" spans="14:18">
      <c r="N182" s="18" t="str">
        <f t="shared" si="4"/>
        <v>079973913</v>
      </c>
      <c r="O182" s="23">
        <v>79973913000144</v>
      </c>
      <c r="P182" s="18" t="s">
        <v>1243</v>
      </c>
      <c r="Q182" s="18" t="s">
        <v>1244</v>
      </c>
      <c r="R182" s="18" t="s">
        <v>725</v>
      </c>
    </row>
    <row r="183" spans="14:18">
      <c r="N183" s="18" t="str">
        <f t="shared" si="4"/>
        <v>053529331</v>
      </c>
      <c r="O183" s="23">
        <v>53529331000180</v>
      </c>
      <c r="P183" s="18" t="s">
        <v>1245</v>
      </c>
      <c r="Q183" s="18" t="s">
        <v>1246</v>
      </c>
      <c r="R183" s="18" t="s">
        <v>622</v>
      </c>
    </row>
    <row r="184" spans="14:18">
      <c r="N184" s="18" t="str">
        <f t="shared" si="4"/>
        <v>016793575</v>
      </c>
      <c r="O184" s="23">
        <v>16793575000149</v>
      </c>
      <c r="P184" s="18" t="s">
        <v>1247</v>
      </c>
      <c r="Q184" s="18" t="s">
        <v>1248</v>
      </c>
      <c r="R184" s="18" t="s">
        <v>599</v>
      </c>
    </row>
    <row r="185" spans="14:18">
      <c r="N185" s="18" t="str">
        <f t="shared" si="4"/>
        <v>006914002</v>
      </c>
      <c r="O185" s="23">
        <v>6914002000172</v>
      </c>
      <c r="P185" s="18" t="s">
        <v>1249</v>
      </c>
      <c r="Q185" s="18" t="s">
        <v>473</v>
      </c>
      <c r="R185" s="18" t="s">
        <v>607</v>
      </c>
    </row>
    <row r="186" spans="14:18">
      <c r="N186" s="18" t="str">
        <f t="shared" si="4"/>
        <v>078706751</v>
      </c>
      <c r="O186" s="23">
        <v>78706751000700</v>
      </c>
      <c r="P186" s="18" t="s">
        <v>1250</v>
      </c>
      <c r="Q186" s="18" t="s">
        <v>1251</v>
      </c>
      <c r="R186" s="18" t="s">
        <v>1252</v>
      </c>
    </row>
    <row r="187" spans="14:18">
      <c r="N187" s="18" t="str">
        <f t="shared" si="4"/>
        <v>078706751</v>
      </c>
      <c r="O187" s="23">
        <v>78706751001430</v>
      </c>
      <c r="P187" s="18" t="s">
        <v>1250</v>
      </c>
      <c r="Q187" s="18" t="s">
        <v>1251</v>
      </c>
      <c r="R187" s="18" t="s">
        <v>599</v>
      </c>
    </row>
    <row r="188" spans="14:18">
      <c r="N188" s="18" t="str">
        <f t="shared" si="4"/>
        <v>078706751</v>
      </c>
      <c r="O188" s="23">
        <v>78706751000891</v>
      </c>
      <c r="P188" s="18" t="s">
        <v>1253</v>
      </c>
      <c r="Q188" s="18" t="s">
        <v>1251</v>
      </c>
      <c r="R188" s="18" t="s">
        <v>681</v>
      </c>
    </row>
    <row r="189" spans="14:18">
      <c r="N189" s="18" t="str">
        <f t="shared" si="4"/>
        <v>078706751</v>
      </c>
      <c r="O189" s="23">
        <v>78706751000115</v>
      </c>
      <c r="P189" s="18" t="s">
        <v>1254</v>
      </c>
      <c r="Q189" s="18" t="s">
        <v>1251</v>
      </c>
      <c r="R189" s="18" t="s">
        <v>1109</v>
      </c>
    </row>
    <row r="190" spans="14:18">
      <c r="N190" s="18" t="str">
        <f t="shared" si="4"/>
        <v>078706751</v>
      </c>
      <c r="O190" s="23">
        <v>78706751000549</v>
      </c>
      <c r="P190" s="18" t="s">
        <v>1254</v>
      </c>
      <c r="Q190" s="18" t="s">
        <v>1251</v>
      </c>
      <c r="R190" s="18" t="s">
        <v>1109</v>
      </c>
    </row>
    <row r="191" spans="14:18">
      <c r="N191" s="18" t="str">
        <f t="shared" si="4"/>
        <v>003350624</v>
      </c>
      <c r="O191" s="23">
        <v>3350624000127</v>
      </c>
      <c r="P191" s="18" t="s">
        <v>1255</v>
      </c>
      <c r="Q191" s="18" t="s">
        <v>1256</v>
      </c>
      <c r="R191" s="18" t="s">
        <v>1257</v>
      </c>
    </row>
    <row r="192" spans="14:18">
      <c r="N192" s="18" t="str">
        <f t="shared" si="4"/>
        <v>018074418</v>
      </c>
      <c r="O192" s="23">
        <v>18074418000109</v>
      </c>
      <c r="P192" s="18" t="s">
        <v>1258</v>
      </c>
      <c r="Q192" s="18" t="s">
        <v>1259</v>
      </c>
      <c r="R192" s="18" t="s">
        <v>599</v>
      </c>
    </row>
    <row r="193" spans="14:18">
      <c r="N193" s="18" t="str">
        <f t="shared" si="4"/>
        <v>012154080</v>
      </c>
      <c r="O193" s="23">
        <v>12154080000119</v>
      </c>
      <c r="P193" s="18" t="s">
        <v>1260</v>
      </c>
      <c r="Q193" s="18" t="s">
        <v>1261</v>
      </c>
      <c r="R193" s="18" t="s">
        <v>599</v>
      </c>
    </row>
    <row r="194" spans="14:18">
      <c r="N194" s="18" t="str">
        <f t="shared" ref="N194:N257" si="6">"0"&amp;LEFT(TEXT(SUBSTITUTE(SUBSTITUTE(SUBSTITUTE(O194,".",""),"/",""),"-",""),"00000000000000"),8)</f>
        <v>012772524</v>
      </c>
      <c r="O194" s="23">
        <v>12772524000180</v>
      </c>
      <c r="P194" s="18" t="s">
        <v>1262</v>
      </c>
      <c r="Q194" s="18" t="s">
        <v>485</v>
      </c>
      <c r="R194" s="18" t="s">
        <v>599</v>
      </c>
    </row>
    <row r="195" spans="14:18">
      <c r="N195" s="18" t="str">
        <f t="shared" si="6"/>
        <v>030823337</v>
      </c>
      <c r="O195" s="23">
        <v>30823337000160</v>
      </c>
      <c r="P195" s="18" t="s">
        <v>1263</v>
      </c>
      <c r="Q195" s="18" t="s">
        <v>1264</v>
      </c>
      <c r="R195" s="18" t="s">
        <v>599</v>
      </c>
    </row>
    <row r="196" spans="14:18">
      <c r="N196" s="18" t="str">
        <f t="shared" si="6"/>
        <v>081230021</v>
      </c>
      <c r="O196" s="23">
        <v>81230021000103</v>
      </c>
      <c r="P196" s="18" t="s">
        <v>1265</v>
      </c>
      <c r="Q196" s="18" t="s">
        <v>1266</v>
      </c>
      <c r="R196" s="18" t="s">
        <v>631</v>
      </c>
    </row>
    <row r="197" spans="14:18">
      <c r="N197" s="18" t="str">
        <f t="shared" si="6"/>
        <v>040895870</v>
      </c>
      <c r="O197" s="23">
        <v>40895870000190</v>
      </c>
      <c r="P197" s="18" t="s">
        <v>1267</v>
      </c>
      <c r="Q197" s="18" t="s">
        <v>1268</v>
      </c>
      <c r="R197" s="18" t="s">
        <v>631</v>
      </c>
    </row>
    <row r="198" spans="14:18">
      <c r="N198" s="18" t="str">
        <f t="shared" si="6"/>
        <v>027482459</v>
      </c>
      <c r="O198" s="23">
        <v>27482459000125</v>
      </c>
      <c r="P198" s="18" t="s">
        <v>1269</v>
      </c>
      <c r="Q198" s="18" t="s">
        <v>1270</v>
      </c>
      <c r="R198" s="18" t="s">
        <v>1271</v>
      </c>
    </row>
    <row r="199" spans="14:18">
      <c r="N199" s="18" t="str">
        <f t="shared" si="6"/>
        <v>044753925</v>
      </c>
      <c r="O199" s="23">
        <v>44753925000189</v>
      </c>
      <c r="P199" s="18" t="s">
        <v>1272</v>
      </c>
      <c r="Q199" s="18" t="s">
        <v>1273</v>
      </c>
      <c r="R199" s="18" t="s">
        <v>652</v>
      </c>
    </row>
    <row r="200" spans="14:18">
      <c r="N200" s="18" t="str">
        <f t="shared" si="6"/>
        <v>045988691</v>
      </c>
      <c r="O200" s="23">
        <v>45988691000111</v>
      </c>
      <c r="P200" s="18" t="s">
        <v>1274</v>
      </c>
      <c r="Q200" s="18" t="s">
        <v>1275</v>
      </c>
      <c r="R200" s="18" t="s">
        <v>825</v>
      </c>
    </row>
    <row r="201" spans="14:18">
      <c r="N201" s="18" t="str">
        <f t="shared" si="6"/>
        <v>032603119</v>
      </c>
      <c r="O201" s="23">
        <v>32603119000145</v>
      </c>
      <c r="P201" s="18" t="s">
        <v>1276</v>
      </c>
      <c r="Q201" s="18" t="s">
        <v>542</v>
      </c>
      <c r="R201" s="18" t="s">
        <v>1277</v>
      </c>
    </row>
    <row r="202" spans="14:18">
      <c r="N202" s="18" t="str">
        <f t="shared" si="6"/>
        <v>024586837</v>
      </c>
      <c r="O202" s="23">
        <v>24586837000122</v>
      </c>
      <c r="P202" s="18" t="s">
        <v>1278</v>
      </c>
      <c r="Q202" s="18" t="s">
        <v>515</v>
      </c>
      <c r="R202" s="18" t="s">
        <v>599</v>
      </c>
    </row>
    <row r="203" spans="14:18">
      <c r="N203" s="18" t="str">
        <f t="shared" ref="N203:N207" si="7">"0"&amp;LEFT(TEXT(SUBSTITUTE(SUBSTITUTE(SUBSTITUTE(O203,".",""),"/",""),"-",""),"00000000000000"),8)</f>
        <v>061028125</v>
      </c>
      <c r="O203" s="23">
        <v>61028125000114</v>
      </c>
      <c r="P203" s="18" t="s">
        <v>1279</v>
      </c>
      <c r="Q203" s="18" t="s">
        <v>533</v>
      </c>
      <c r="R203" s="18" t="s">
        <v>631</v>
      </c>
    </row>
    <row r="204" spans="14:18">
      <c r="N204" s="18" t="str">
        <f t="shared" si="7"/>
        <v>0</v>
      </c>
      <c r="O204" s="23"/>
      <c r="P204" s="18"/>
      <c r="Q204" s="18"/>
      <c r="R204" s="18"/>
    </row>
    <row r="205" spans="14:18">
      <c r="N205" s="18" t="str">
        <f t="shared" si="7"/>
        <v>0</v>
      </c>
      <c r="O205" s="23"/>
      <c r="P205" s="18"/>
      <c r="Q205" s="18"/>
      <c r="R205" s="18"/>
    </row>
    <row r="206" spans="14:18">
      <c r="N206" s="18" t="str">
        <f t="shared" si="7"/>
        <v>0</v>
      </c>
      <c r="O206" s="23"/>
      <c r="P206" s="18"/>
      <c r="Q206" s="18"/>
      <c r="R206" s="18"/>
    </row>
    <row r="207" spans="14:18">
      <c r="N207" s="18" t="str">
        <f t="shared" si="7"/>
        <v>0</v>
      </c>
      <c r="O207" s="23"/>
      <c r="P207" s="18"/>
      <c r="Q207" s="18"/>
      <c r="R207" s="18"/>
    </row>
    <row r="208" spans="14:18"/>
    <row r="209"/>
    <row r="210"/>
  </sheetData>
  <autoFilter ref="N1:R1" xr:uid="{47BC257A-4798-4D53-BA44-0BF931D1E497}">
    <sortState xmlns:xlrd2="http://schemas.microsoft.com/office/spreadsheetml/2017/richdata2" ref="N2:R202">
      <sortCondition ref="Q1"/>
    </sortState>
  </autoFilter>
  <mergeCells count="3">
    <mergeCell ref="S1:S20"/>
    <mergeCell ref="L1:L20"/>
    <mergeCell ref="Y26:AA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38" sqref="I38"/>
    </sheetView>
  </sheetViews>
  <sheetFormatPr defaultRowHeight="1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75">
      <c r="A1" s="169" t="s">
        <v>1280</v>
      </c>
      <c r="B1" s="169"/>
      <c r="E1" s="111" t="s">
        <v>1281</v>
      </c>
      <c r="F1" s="112" t="s">
        <v>1282</v>
      </c>
      <c r="G1" s="112" t="s">
        <v>1283</v>
      </c>
      <c r="H1" s="112" t="s">
        <v>411</v>
      </c>
      <c r="I1" s="112" t="s">
        <v>1284</v>
      </c>
      <c r="J1" s="112" t="s">
        <v>1285</v>
      </c>
    </row>
    <row r="2" spans="1:10" ht="15.75">
      <c r="A2" s="97" t="s">
        <v>1286</v>
      </c>
      <c r="B2" s="97" t="s">
        <v>1287</v>
      </c>
      <c r="D2" s="1">
        <v>1</v>
      </c>
      <c r="E2" s="113" t="s">
        <v>1288</v>
      </c>
      <c r="F2" s="114" t="s">
        <v>1289</v>
      </c>
      <c r="G2" s="114" t="s">
        <v>1290</v>
      </c>
      <c r="H2" s="115">
        <v>45975</v>
      </c>
      <c r="I2" s="114" t="s">
        <v>1291</v>
      </c>
      <c r="J2" s="116" t="s">
        <v>314</v>
      </c>
    </row>
    <row r="3" spans="1:10" ht="15.75">
      <c r="A3" s="97" t="s">
        <v>1292</v>
      </c>
      <c r="B3" s="97" t="s">
        <v>316</v>
      </c>
      <c r="D3" s="1">
        <v>2</v>
      </c>
      <c r="E3" s="117" t="s">
        <v>1288</v>
      </c>
      <c r="F3" s="117" t="s">
        <v>1293</v>
      </c>
      <c r="G3" s="117" t="s">
        <v>1294</v>
      </c>
      <c r="H3" s="84">
        <v>45978</v>
      </c>
      <c r="I3" s="85" t="s">
        <v>1295</v>
      </c>
      <c r="J3" s="118" t="s">
        <v>347</v>
      </c>
    </row>
    <row r="4" spans="1:10" ht="15.75">
      <c r="A4" s="97" t="s">
        <v>1296</v>
      </c>
      <c r="B4" s="98">
        <v>1088000</v>
      </c>
      <c r="D4" s="1">
        <v>3</v>
      </c>
      <c r="E4" s="119" t="s">
        <v>1297</v>
      </c>
      <c r="F4" s="119" t="s">
        <v>1297</v>
      </c>
      <c r="G4" s="119" t="s">
        <v>1298</v>
      </c>
      <c r="H4" s="120" t="s">
        <v>1299</v>
      </c>
      <c r="I4" s="119" t="s">
        <v>1300</v>
      </c>
      <c r="J4" s="121" t="s">
        <v>370</v>
      </c>
    </row>
    <row r="5" spans="1:10" ht="15.75">
      <c r="A5" s="96"/>
      <c r="B5" s="96"/>
      <c r="D5" s="1">
        <v>4</v>
      </c>
      <c r="E5" s="85" t="s">
        <v>1297</v>
      </c>
      <c r="F5" s="85" t="s">
        <v>1297</v>
      </c>
      <c r="G5" s="85" t="s">
        <v>1301</v>
      </c>
      <c r="H5" s="84">
        <v>45980</v>
      </c>
      <c r="I5" s="85" t="s">
        <v>1302</v>
      </c>
      <c r="J5" s="122" t="s">
        <v>388</v>
      </c>
    </row>
    <row r="6" spans="1:10" ht="15.75">
      <c r="A6" s="97" t="s">
        <v>1286</v>
      </c>
      <c r="B6" s="97" t="s">
        <v>1303</v>
      </c>
      <c r="D6" s="1">
        <v>5</v>
      </c>
      <c r="E6" s="119" t="s">
        <v>1297</v>
      </c>
      <c r="F6" s="119" t="s">
        <v>1304</v>
      </c>
      <c r="G6" s="119" t="s">
        <v>1305</v>
      </c>
      <c r="H6" s="120" t="s">
        <v>1306</v>
      </c>
      <c r="I6" s="119" t="s">
        <v>1307</v>
      </c>
      <c r="J6" s="121" t="s">
        <v>1308</v>
      </c>
    </row>
    <row r="7" spans="1:10" ht="15.75">
      <c r="A7" s="97" t="s">
        <v>1292</v>
      </c>
      <c r="B7" s="97" t="s">
        <v>311</v>
      </c>
      <c r="D7" s="1">
        <v>6</v>
      </c>
      <c r="E7" s="123" t="s">
        <v>1309</v>
      </c>
      <c r="F7" s="123" t="s">
        <v>1310</v>
      </c>
      <c r="G7" s="123" t="s">
        <v>1311</v>
      </c>
      <c r="H7" s="124">
        <v>45986</v>
      </c>
      <c r="I7" s="123" t="s">
        <v>1312</v>
      </c>
      <c r="J7" s="121" t="s">
        <v>393</v>
      </c>
    </row>
    <row r="8" spans="1:10" ht="15.75">
      <c r="A8" s="97" t="s">
        <v>1296</v>
      </c>
      <c r="B8" s="98">
        <v>163000</v>
      </c>
      <c r="D8" s="1">
        <v>7</v>
      </c>
      <c r="E8" s="123" t="s">
        <v>1293</v>
      </c>
      <c r="F8" s="123" t="s">
        <v>1313</v>
      </c>
      <c r="G8" s="123" t="s">
        <v>1314</v>
      </c>
      <c r="H8" s="124">
        <v>45987</v>
      </c>
      <c r="I8" s="123" t="s">
        <v>1312</v>
      </c>
      <c r="J8" s="121" t="s">
        <v>396</v>
      </c>
    </row>
    <row r="9" spans="1:10" ht="15.75">
      <c r="A9" s="96"/>
      <c r="B9" s="96"/>
      <c r="D9" s="1">
        <v>8</v>
      </c>
      <c r="E9" s="87" t="s">
        <v>1315</v>
      </c>
      <c r="F9" s="87" t="s">
        <v>1316</v>
      </c>
      <c r="G9" s="87" t="s">
        <v>1311</v>
      </c>
      <c r="H9" s="86">
        <v>45989</v>
      </c>
      <c r="I9" s="87" t="s">
        <v>1317</v>
      </c>
      <c r="J9" s="87"/>
    </row>
    <row r="10" spans="1:10" ht="15.75">
      <c r="A10" s="97" t="s">
        <v>1286</v>
      </c>
      <c r="B10" s="97" t="s">
        <v>1318</v>
      </c>
      <c r="D10" s="1"/>
      <c r="E10" s="89" t="s">
        <v>1319</v>
      </c>
      <c r="F10" s="89" t="s">
        <v>1320</v>
      </c>
      <c r="G10" s="89" t="s">
        <v>1320</v>
      </c>
      <c r="H10" s="88" t="s">
        <v>1320</v>
      </c>
      <c r="I10" s="88" t="s">
        <v>1320</v>
      </c>
      <c r="J10" s="89"/>
    </row>
    <row r="11" spans="1:10" ht="15.75">
      <c r="A11" s="97" t="s">
        <v>1292</v>
      </c>
      <c r="B11" s="97" t="s">
        <v>326</v>
      </c>
      <c r="D11" s="1"/>
      <c r="E11" s="87" t="s">
        <v>1315</v>
      </c>
      <c r="F11" s="87" t="s">
        <v>1320</v>
      </c>
      <c r="G11" s="87" t="s">
        <v>1320</v>
      </c>
      <c r="H11" s="86" t="s">
        <v>1320</v>
      </c>
      <c r="I11" s="86" t="s">
        <v>1320</v>
      </c>
      <c r="J11" s="87"/>
    </row>
    <row r="12" spans="1:10" ht="15.75">
      <c r="A12" s="97" t="s">
        <v>1296</v>
      </c>
      <c r="B12" s="98">
        <v>262000</v>
      </c>
      <c r="D12" s="1"/>
      <c r="E12" s="125" t="s">
        <v>1319</v>
      </c>
      <c r="F12" s="89" t="s">
        <v>1320</v>
      </c>
      <c r="G12" s="89" t="s">
        <v>1320</v>
      </c>
      <c r="H12" s="88" t="s">
        <v>1320</v>
      </c>
      <c r="I12" s="89" t="s">
        <v>1317</v>
      </c>
      <c r="J12" s="89"/>
    </row>
    <row r="13" spans="1:10" ht="15.75">
      <c r="A13" s="96"/>
      <c r="B13" s="96"/>
      <c r="E13" s="87" t="s">
        <v>1297</v>
      </c>
      <c r="F13" s="87" t="s">
        <v>1320</v>
      </c>
      <c r="G13" s="87" t="s">
        <v>1320</v>
      </c>
      <c r="H13" s="86" t="s">
        <v>1320</v>
      </c>
      <c r="I13" s="87" t="s">
        <v>1317</v>
      </c>
      <c r="J13" s="87"/>
    </row>
    <row r="14" spans="1:10" ht="15.75">
      <c r="A14" s="97" t="s">
        <v>1286</v>
      </c>
      <c r="B14" s="97" t="s">
        <v>1318</v>
      </c>
    </row>
    <row r="15" spans="1:10" ht="15.75">
      <c r="A15" s="97" t="s">
        <v>1292</v>
      </c>
      <c r="B15" s="97" t="s">
        <v>327</v>
      </c>
    </row>
    <row r="16" spans="1:10" ht="15.75">
      <c r="A16" s="97" t="s">
        <v>1296</v>
      </c>
      <c r="B16" s="98">
        <v>191000</v>
      </c>
    </row>
    <row r="17" spans="1:8" ht="15.75">
      <c r="A17" s="96"/>
      <c r="B17" s="96"/>
    </row>
    <row r="18" spans="1:8" ht="15.75">
      <c r="A18" s="97" t="s">
        <v>1321</v>
      </c>
      <c r="B18" s="97" t="s">
        <v>144</v>
      </c>
      <c r="E18" s="126" t="s">
        <v>165</v>
      </c>
      <c r="F18" s="126" t="s">
        <v>415</v>
      </c>
      <c r="G18" s="127" t="s">
        <v>175</v>
      </c>
      <c r="H18" s="127" t="s">
        <v>1322</v>
      </c>
    </row>
    <row r="19" spans="1:8" ht="15.75">
      <c r="A19" s="170" t="s">
        <v>1323</v>
      </c>
      <c r="B19" s="97" t="s">
        <v>1324</v>
      </c>
      <c r="E19" s="128" t="s">
        <v>326</v>
      </c>
      <c r="F19" s="81">
        <v>262000</v>
      </c>
      <c r="G19" s="83" t="s">
        <v>1325</v>
      </c>
      <c r="H19" s="83" t="s">
        <v>144</v>
      </c>
    </row>
    <row r="20" spans="1:8" ht="15.75">
      <c r="A20" s="170"/>
      <c r="B20" s="95" t="s">
        <v>314</v>
      </c>
      <c r="E20" s="128" t="s">
        <v>327</v>
      </c>
      <c r="F20" s="81">
        <v>191000</v>
      </c>
      <c r="G20" s="83" t="s">
        <v>1326</v>
      </c>
      <c r="H20" s="83" t="s">
        <v>144</v>
      </c>
    </row>
    <row r="21" spans="1:8" ht="15.75">
      <c r="A21" s="97" t="s">
        <v>1327</v>
      </c>
      <c r="B21" s="94" t="s">
        <v>1328</v>
      </c>
      <c r="E21" s="92" t="s">
        <v>344</v>
      </c>
      <c r="F21" s="129">
        <v>971000</v>
      </c>
      <c r="G21" s="130" t="s">
        <v>1329</v>
      </c>
      <c r="H21" s="130" t="s">
        <v>144</v>
      </c>
    </row>
    <row r="22" spans="1:8" ht="15.75">
      <c r="A22" s="97" t="s">
        <v>1330</v>
      </c>
      <c r="B22" s="99">
        <v>45975</v>
      </c>
      <c r="E22" s="92" t="s">
        <v>365</v>
      </c>
      <c r="F22" s="129">
        <v>510000</v>
      </c>
      <c r="G22" s="130" t="s">
        <v>1329</v>
      </c>
      <c r="H22" s="130" t="s">
        <v>144</v>
      </c>
    </row>
    <row r="23" spans="1:8" ht="15.75">
      <c r="A23" s="97" t="s">
        <v>1331</v>
      </c>
      <c r="B23" s="99">
        <v>45978</v>
      </c>
      <c r="E23" s="83" t="s">
        <v>1332</v>
      </c>
      <c r="F23" s="131">
        <v>160000</v>
      </c>
      <c r="G23" s="83" t="s">
        <v>1326</v>
      </c>
      <c r="H23" s="83" t="s">
        <v>1333</v>
      </c>
    </row>
    <row r="24" spans="1:8" ht="15.75">
      <c r="A24" s="100"/>
      <c r="B24" s="100"/>
      <c r="E24" s="132" t="s">
        <v>386</v>
      </c>
      <c r="F24" s="133">
        <v>218000</v>
      </c>
      <c r="G24" s="132" t="s">
        <v>1325</v>
      </c>
      <c r="H24" s="83" t="s">
        <v>1333</v>
      </c>
    </row>
    <row r="25" spans="1:8" ht="15.75">
      <c r="A25" s="169" t="s">
        <v>1334</v>
      </c>
      <c r="B25" s="169"/>
      <c r="E25" s="134" t="s">
        <v>372</v>
      </c>
      <c r="F25" s="91">
        <v>1090000</v>
      </c>
      <c r="G25" s="135" t="s">
        <v>1335</v>
      </c>
      <c r="H25" s="135" t="s">
        <v>421</v>
      </c>
    </row>
    <row r="26" spans="1:8" ht="15.75">
      <c r="A26" s="97" t="s">
        <v>1286</v>
      </c>
      <c r="B26" s="97" t="s">
        <v>1318</v>
      </c>
      <c r="E26" s="136" t="s">
        <v>367</v>
      </c>
      <c r="F26" s="90">
        <v>163000</v>
      </c>
      <c r="G26" s="137" t="s">
        <v>1335</v>
      </c>
      <c r="H26" s="137" t="s">
        <v>421</v>
      </c>
    </row>
    <row r="27" spans="1:8" ht="15.75">
      <c r="A27" s="97" t="s">
        <v>1292</v>
      </c>
      <c r="B27" s="97" t="s">
        <v>344</v>
      </c>
      <c r="E27" s="83" t="s">
        <v>385</v>
      </c>
      <c r="F27" s="131">
        <v>191000</v>
      </c>
      <c r="G27" s="83" t="s">
        <v>1326</v>
      </c>
      <c r="H27" s="83" t="s">
        <v>421</v>
      </c>
    </row>
    <row r="28" spans="1:8" ht="15.75">
      <c r="A28" s="97" t="s">
        <v>1296</v>
      </c>
      <c r="B28" s="98">
        <v>970381.91</v>
      </c>
      <c r="E28" s="92" t="s">
        <v>378</v>
      </c>
      <c r="F28" s="129">
        <v>971000</v>
      </c>
      <c r="G28" s="130" t="s">
        <v>1336</v>
      </c>
      <c r="H28" s="130" t="s">
        <v>421</v>
      </c>
    </row>
    <row r="29" spans="1:8" ht="15.75">
      <c r="A29" s="101"/>
      <c r="B29" s="101"/>
      <c r="E29" s="92" t="s">
        <v>374</v>
      </c>
      <c r="F29" s="129">
        <v>853000</v>
      </c>
      <c r="G29" s="130" t="s">
        <v>1336</v>
      </c>
      <c r="H29" s="130" t="s">
        <v>421</v>
      </c>
    </row>
    <row r="30" spans="1:8" ht="15.75">
      <c r="A30" s="97" t="s">
        <v>1286</v>
      </c>
      <c r="B30" s="97" t="s">
        <v>1318</v>
      </c>
      <c r="E30" s="138" t="s">
        <v>1337</v>
      </c>
      <c r="F30" s="82" t="s">
        <v>1338</v>
      </c>
      <c r="G30" s="83"/>
      <c r="H30" s="83" t="s">
        <v>444</v>
      </c>
    </row>
    <row r="31" spans="1:8" ht="15.75">
      <c r="A31" s="97" t="s">
        <v>1292</v>
      </c>
      <c r="B31" s="97" t="s">
        <v>365</v>
      </c>
      <c r="E31" s="139" t="s">
        <v>1339</v>
      </c>
      <c r="F31" s="93">
        <v>147000</v>
      </c>
      <c r="G31" s="137"/>
      <c r="H31" s="137" t="s">
        <v>444</v>
      </c>
    </row>
    <row r="32" spans="1:8" ht="15.75">
      <c r="A32" s="97" t="s">
        <v>1296</v>
      </c>
      <c r="B32" s="98" t="s">
        <v>1340</v>
      </c>
      <c r="E32" s="140" t="s">
        <v>316</v>
      </c>
      <c r="F32" s="131">
        <v>1088000</v>
      </c>
      <c r="G32" s="83"/>
      <c r="H32" s="83" t="s">
        <v>148</v>
      </c>
    </row>
    <row r="33" spans="1:8" ht="15.75">
      <c r="A33" s="101"/>
      <c r="B33" s="102"/>
      <c r="E33" s="140" t="s">
        <v>311</v>
      </c>
      <c r="F33" s="131">
        <v>163000</v>
      </c>
      <c r="G33" s="83"/>
      <c r="H33" s="83" t="s">
        <v>148</v>
      </c>
    </row>
    <row r="34" spans="1:8" ht="15.75">
      <c r="A34" s="97" t="s">
        <v>1321</v>
      </c>
      <c r="B34" s="97" t="s">
        <v>144</v>
      </c>
    </row>
    <row r="35" spans="1:8" ht="15.75">
      <c r="A35" s="170" t="s">
        <v>1323</v>
      </c>
      <c r="B35" s="97" t="s">
        <v>1341</v>
      </c>
    </row>
    <row r="36" spans="1:8">
      <c r="A36" s="170"/>
      <c r="B36" s="95" t="s">
        <v>347</v>
      </c>
    </row>
    <row r="37" spans="1:8" ht="15.75">
      <c r="A37" s="97" t="s">
        <v>1327</v>
      </c>
      <c r="B37" s="94" t="s">
        <v>1342</v>
      </c>
    </row>
    <row r="38" spans="1:8" ht="15.75">
      <c r="A38" s="97" t="s">
        <v>1330</v>
      </c>
      <c r="B38" s="99">
        <v>45978</v>
      </c>
    </row>
    <row r="39" spans="1:8" ht="15.75">
      <c r="A39" s="97" t="s">
        <v>1331</v>
      </c>
      <c r="B39" s="99">
        <v>45985</v>
      </c>
    </row>
    <row r="40" spans="1:8" ht="15.75">
      <c r="A40" s="100"/>
      <c r="B40" s="100"/>
    </row>
    <row r="41" spans="1:8" ht="15.75">
      <c r="A41" s="169" t="s">
        <v>1343</v>
      </c>
      <c r="B41" s="169"/>
    </row>
    <row r="42" spans="1:8" ht="15.75">
      <c r="A42" s="97" t="s">
        <v>1286</v>
      </c>
      <c r="B42" s="97" t="s">
        <v>1287</v>
      </c>
    </row>
    <row r="43" spans="1:8" ht="15.75">
      <c r="A43" s="97" t="s">
        <v>1292</v>
      </c>
      <c r="B43" s="97" t="s">
        <v>1344</v>
      </c>
    </row>
    <row r="44" spans="1:8" ht="15.75">
      <c r="A44" s="97" t="s">
        <v>1296</v>
      </c>
      <c r="B44" s="91">
        <v>1090000</v>
      </c>
    </row>
    <row r="45" spans="1:8" ht="15.75">
      <c r="A45" s="101"/>
      <c r="B45" s="96"/>
    </row>
    <row r="46" spans="1:8" ht="15.75">
      <c r="A46" s="103" t="s">
        <v>1286</v>
      </c>
      <c r="B46" s="97" t="s">
        <v>1303</v>
      </c>
    </row>
    <row r="47" spans="1:8" ht="15.75">
      <c r="A47" s="103" t="s">
        <v>1292</v>
      </c>
      <c r="B47" s="97" t="s">
        <v>367</v>
      </c>
    </row>
    <row r="48" spans="1:8" ht="15.75">
      <c r="A48" s="103" t="s">
        <v>1296</v>
      </c>
      <c r="B48" s="81">
        <v>163000</v>
      </c>
    </row>
    <row r="49" spans="1:2" ht="15.75">
      <c r="A49" s="101"/>
      <c r="B49" s="102"/>
    </row>
    <row r="50" spans="1:2" ht="15.75">
      <c r="A50" s="97" t="s">
        <v>1321</v>
      </c>
      <c r="B50" s="97" t="s">
        <v>140</v>
      </c>
    </row>
    <row r="51" spans="1:2" ht="15.75">
      <c r="A51" s="170" t="s">
        <v>1323</v>
      </c>
      <c r="B51" s="97" t="s">
        <v>1345</v>
      </c>
    </row>
    <row r="52" spans="1:2">
      <c r="A52" s="170"/>
      <c r="B52" s="95" t="s">
        <v>370</v>
      </c>
    </row>
    <row r="53" spans="1:2" ht="15.75">
      <c r="A53" s="97" t="s">
        <v>1327</v>
      </c>
      <c r="B53" s="94" t="s">
        <v>1346</v>
      </c>
    </row>
    <row r="54" spans="1:2" ht="15.75">
      <c r="A54" s="97" t="s">
        <v>1330</v>
      </c>
      <c r="B54" s="99">
        <v>45978</v>
      </c>
    </row>
    <row r="55" spans="1:2" ht="15.75">
      <c r="A55" s="97" t="s">
        <v>1331</v>
      </c>
      <c r="B55" s="99">
        <v>45981</v>
      </c>
    </row>
    <row r="56" spans="1:2" ht="15.75">
      <c r="A56" s="100"/>
      <c r="B56" s="100"/>
    </row>
    <row r="57" spans="1:2" ht="15.75">
      <c r="A57" s="169" t="s">
        <v>1347</v>
      </c>
      <c r="B57" s="169"/>
    </row>
    <row r="58" spans="1:2" ht="15.75">
      <c r="A58" s="97" t="s">
        <v>1286</v>
      </c>
      <c r="B58" s="97" t="s">
        <v>1318</v>
      </c>
    </row>
    <row r="59" spans="1:2" ht="15.75">
      <c r="A59" s="97" t="s">
        <v>1292</v>
      </c>
      <c r="B59" s="97" t="s">
        <v>378</v>
      </c>
    </row>
    <row r="60" spans="1:2" ht="15.75">
      <c r="A60" s="97" t="s">
        <v>1296</v>
      </c>
      <c r="B60" s="98">
        <v>971000</v>
      </c>
    </row>
    <row r="61" spans="1:2" ht="15.75">
      <c r="A61" s="101"/>
      <c r="B61" s="101"/>
    </row>
    <row r="62" spans="1:2" ht="15.75">
      <c r="A62" s="97" t="s">
        <v>1286</v>
      </c>
      <c r="B62" s="97" t="s">
        <v>1318</v>
      </c>
    </row>
    <row r="63" spans="1:2" ht="15.75">
      <c r="A63" s="97" t="s">
        <v>1292</v>
      </c>
      <c r="B63" s="97" t="s">
        <v>374</v>
      </c>
    </row>
    <row r="64" spans="1:2" ht="15.75">
      <c r="A64" s="97" t="s">
        <v>1296</v>
      </c>
      <c r="B64" s="98">
        <v>853000</v>
      </c>
    </row>
    <row r="65" spans="1:2" ht="15.75">
      <c r="A65" s="101"/>
      <c r="B65" s="102"/>
    </row>
    <row r="66" spans="1:2" ht="15.75">
      <c r="A66" s="97" t="s">
        <v>1321</v>
      </c>
      <c r="B66" s="97" t="s">
        <v>140</v>
      </c>
    </row>
    <row r="67" spans="1:2" ht="15.75">
      <c r="A67" s="170" t="s">
        <v>1323</v>
      </c>
      <c r="B67" s="97" t="s">
        <v>1348</v>
      </c>
    </row>
    <row r="68" spans="1:2">
      <c r="A68" s="170"/>
      <c r="B68" s="104" t="s">
        <v>388</v>
      </c>
    </row>
    <row r="69" spans="1:2" ht="15.75">
      <c r="A69" s="97" t="s">
        <v>1327</v>
      </c>
      <c r="B69" s="94" t="s">
        <v>1349</v>
      </c>
    </row>
    <row r="70" spans="1:2" ht="15.75">
      <c r="A70" s="97" t="s">
        <v>1330</v>
      </c>
      <c r="B70" s="99">
        <v>45980</v>
      </c>
    </row>
    <row r="71" spans="1:2" ht="15.75">
      <c r="A71" s="97" t="s">
        <v>1331</v>
      </c>
      <c r="B71" s="99">
        <v>45985</v>
      </c>
    </row>
    <row r="72" spans="1:2" ht="15.75">
      <c r="A72" s="100"/>
      <c r="B72" s="100"/>
    </row>
    <row r="73" spans="1:2" ht="15.75">
      <c r="A73" s="169" t="s">
        <v>1350</v>
      </c>
      <c r="B73" s="169"/>
    </row>
    <row r="74" spans="1:2" ht="15.75">
      <c r="A74" s="97" t="s">
        <v>1286</v>
      </c>
      <c r="B74" s="97" t="s">
        <v>1318</v>
      </c>
    </row>
    <row r="75" spans="1:2" ht="15.75">
      <c r="A75" s="97" t="s">
        <v>1292</v>
      </c>
      <c r="B75" s="97" t="s">
        <v>386</v>
      </c>
    </row>
    <row r="76" spans="1:2" ht="15.75">
      <c r="A76" s="97" t="s">
        <v>1296</v>
      </c>
      <c r="B76" s="98">
        <v>218000</v>
      </c>
    </row>
    <row r="77" spans="1:2" ht="15.75">
      <c r="A77" s="96"/>
      <c r="B77" s="96"/>
    </row>
    <row r="78" spans="1:2" ht="15.75">
      <c r="A78" s="97" t="s">
        <v>1286</v>
      </c>
      <c r="B78" s="97" t="s">
        <v>1318</v>
      </c>
    </row>
    <row r="79" spans="1:2" ht="15.75">
      <c r="A79" s="97" t="s">
        <v>1292</v>
      </c>
      <c r="B79" s="97" t="s">
        <v>385</v>
      </c>
    </row>
    <row r="80" spans="1:2" ht="15.75">
      <c r="A80" s="97" t="s">
        <v>1296</v>
      </c>
      <c r="B80" s="98">
        <v>191000</v>
      </c>
    </row>
    <row r="81" spans="1:2" ht="15.75">
      <c r="A81" s="101"/>
      <c r="B81" s="101"/>
    </row>
    <row r="82" spans="1:2" ht="15.75">
      <c r="A82" s="97" t="s">
        <v>1286</v>
      </c>
      <c r="B82" s="97" t="s">
        <v>1318</v>
      </c>
    </row>
    <row r="83" spans="1:2" ht="15.75">
      <c r="A83" s="97" t="s">
        <v>1292</v>
      </c>
      <c r="B83" s="97" t="s">
        <v>1332</v>
      </c>
    </row>
    <row r="84" spans="1:2" ht="15.75">
      <c r="A84" s="97" t="s">
        <v>1296</v>
      </c>
      <c r="B84" s="98">
        <v>160000</v>
      </c>
    </row>
    <row r="85" spans="1:2" ht="15.75">
      <c r="A85" s="101"/>
      <c r="B85" s="102"/>
    </row>
    <row r="86" spans="1:2" ht="15.75">
      <c r="A86" s="97" t="s">
        <v>1321</v>
      </c>
      <c r="B86" s="97" t="s">
        <v>140</v>
      </c>
    </row>
    <row r="87" spans="1:2" ht="15.75">
      <c r="A87" s="170" t="s">
        <v>1323</v>
      </c>
      <c r="B87" s="97" t="s">
        <v>1351</v>
      </c>
    </row>
    <row r="88" spans="1:2">
      <c r="A88" s="170"/>
      <c r="B88" s="104" t="s">
        <v>383</v>
      </c>
    </row>
    <row r="89" spans="1:2" ht="15.75">
      <c r="A89" s="97" t="s">
        <v>1327</v>
      </c>
      <c r="B89" s="94" t="s">
        <v>1352</v>
      </c>
    </row>
    <row r="90" spans="1:2" ht="15.75">
      <c r="A90" s="97" t="s">
        <v>1330</v>
      </c>
      <c r="B90" s="99">
        <v>45985</v>
      </c>
    </row>
    <row r="91" spans="1:2" ht="15.75">
      <c r="A91" s="97" t="s">
        <v>1331</v>
      </c>
      <c r="B91" s="99">
        <v>45987</v>
      </c>
    </row>
    <row r="92" spans="1:2" ht="15.75">
      <c r="A92" s="100"/>
      <c r="B92" s="100"/>
    </row>
    <row r="93" spans="1:2" ht="15.75">
      <c r="A93" s="169" t="s">
        <v>1353</v>
      </c>
      <c r="B93" s="169"/>
    </row>
    <row r="94" spans="1:2" ht="15.75">
      <c r="A94" s="97" t="s">
        <v>1286</v>
      </c>
      <c r="B94" s="97" t="s">
        <v>1287</v>
      </c>
    </row>
    <row r="95" spans="1:2" ht="15.75">
      <c r="A95" s="97" t="s">
        <v>1292</v>
      </c>
      <c r="B95" s="97" t="s">
        <v>372</v>
      </c>
    </row>
    <row r="96" spans="1:2" ht="15.75">
      <c r="A96" s="97" t="s">
        <v>1296</v>
      </c>
      <c r="B96" s="98">
        <v>1090000</v>
      </c>
    </row>
    <row r="97" spans="1:2" ht="15.75">
      <c r="A97" s="96"/>
      <c r="B97" s="96"/>
    </row>
    <row r="98" spans="1:2" ht="15.75">
      <c r="A98" s="97" t="s">
        <v>1286</v>
      </c>
      <c r="B98" s="97" t="s">
        <v>1303</v>
      </c>
    </row>
    <row r="99" spans="1:2" ht="15.75">
      <c r="A99" s="97" t="s">
        <v>1292</v>
      </c>
      <c r="B99" s="97" t="s">
        <v>367</v>
      </c>
    </row>
    <row r="100" spans="1:2" ht="15.75">
      <c r="A100" s="97" t="s">
        <v>1296</v>
      </c>
      <c r="B100" s="98">
        <v>163000</v>
      </c>
    </row>
    <row r="101" spans="1:2" ht="15.75">
      <c r="A101" s="96"/>
      <c r="B101" s="96"/>
    </row>
    <row r="102" spans="1:2" ht="15.75">
      <c r="A102" s="97" t="s">
        <v>1286</v>
      </c>
      <c r="B102" s="97" t="s">
        <v>1318</v>
      </c>
    </row>
    <row r="103" spans="1:2" ht="15.75">
      <c r="A103" s="97" t="s">
        <v>1292</v>
      </c>
      <c r="B103" s="97" t="s">
        <v>326</v>
      </c>
    </row>
    <row r="104" spans="1:2" ht="15.75">
      <c r="A104" s="97" t="s">
        <v>1296</v>
      </c>
      <c r="B104" s="98">
        <v>262000</v>
      </c>
    </row>
    <row r="105" spans="1:2" ht="15.75">
      <c r="A105" s="96"/>
      <c r="B105" s="96"/>
    </row>
    <row r="106" spans="1:2" ht="15.75">
      <c r="A106" s="97" t="s">
        <v>1286</v>
      </c>
      <c r="B106" s="97" t="s">
        <v>1318</v>
      </c>
    </row>
    <row r="107" spans="1:2" ht="15.75">
      <c r="A107" s="97" t="s">
        <v>1292</v>
      </c>
      <c r="B107" s="97" t="s">
        <v>327</v>
      </c>
    </row>
    <row r="108" spans="1:2" ht="15.75">
      <c r="A108" s="97" t="s">
        <v>1296</v>
      </c>
      <c r="B108" s="98">
        <v>191000</v>
      </c>
    </row>
    <row r="109" spans="1:2" ht="15.75">
      <c r="A109" s="96"/>
      <c r="B109" s="96"/>
    </row>
    <row r="110" spans="1:2" ht="15.75">
      <c r="A110" s="97" t="s">
        <v>1321</v>
      </c>
      <c r="B110" s="97" t="s">
        <v>140</v>
      </c>
    </row>
    <row r="111" spans="1:2">
      <c r="A111" s="170" t="s">
        <v>1323</v>
      </c>
      <c r="B111" s="94" t="s">
        <v>1354</v>
      </c>
    </row>
    <row r="112" spans="1:2">
      <c r="A112" s="170"/>
      <c r="B112" s="104" t="s">
        <v>1355</v>
      </c>
    </row>
    <row r="113" spans="1:2" ht="15.75">
      <c r="A113" s="97" t="s">
        <v>1327</v>
      </c>
      <c r="B113" s="97" t="s">
        <v>394</v>
      </c>
    </row>
    <row r="114" spans="1:2" ht="15.75">
      <c r="A114" s="97" t="s">
        <v>1330</v>
      </c>
      <c r="B114" s="99">
        <v>45985</v>
      </c>
    </row>
    <row r="115" spans="1:2" ht="15.75">
      <c r="A115" s="97" t="s">
        <v>1331</v>
      </c>
      <c r="B115" s="99">
        <v>45986</v>
      </c>
    </row>
    <row r="116" spans="1:2" ht="15.75">
      <c r="A116" s="100"/>
      <c r="B116" s="100"/>
    </row>
    <row r="117" spans="1:2" ht="15.75">
      <c r="A117" s="169" t="s">
        <v>1356</v>
      </c>
      <c r="B117" s="169"/>
    </row>
    <row r="118" spans="1:2" ht="15.75">
      <c r="A118" s="97" t="s">
        <v>1286</v>
      </c>
      <c r="B118" s="97" t="s">
        <v>1287</v>
      </c>
    </row>
    <row r="119" spans="1:2" ht="15.75">
      <c r="A119" s="97" t="s">
        <v>1292</v>
      </c>
      <c r="B119" s="97" t="s">
        <v>372</v>
      </c>
    </row>
    <row r="120" spans="1:2" ht="15.75">
      <c r="A120" s="97" t="s">
        <v>1296</v>
      </c>
      <c r="B120" s="98">
        <v>1090000</v>
      </c>
    </row>
    <row r="121" spans="1:2" ht="15.75">
      <c r="A121" s="96"/>
      <c r="B121" s="96"/>
    </row>
    <row r="122" spans="1:2" ht="15.75">
      <c r="A122" s="97" t="s">
        <v>1286</v>
      </c>
      <c r="B122" s="97" t="s">
        <v>1303</v>
      </c>
    </row>
    <row r="123" spans="1:2" ht="15.75">
      <c r="A123" s="97" t="s">
        <v>1292</v>
      </c>
      <c r="B123" s="97" t="s">
        <v>367</v>
      </c>
    </row>
    <row r="124" spans="1:2" ht="15.75">
      <c r="A124" s="97" t="s">
        <v>1296</v>
      </c>
      <c r="B124" s="98">
        <v>163000</v>
      </c>
    </row>
    <row r="125" spans="1:2" ht="15.75">
      <c r="A125" s="96"/>
      <c r="B125" s="96"/>
    </row>
    <row r="126" spans="1:2" ht="15.75">
      <c r="A126" s="97" t="s">
        <v>1286</v>
      </c>
      <c r="B126" s="97" t="s">
        <v>1318</v>
      </c>
    </row>
    <row r="127" spans="1:2" ht="15.75">
      <c r="A127" s="97" t="s">
        <v>1292</v>
      </c>
      <c r="B127" s="97" t="s">
        <v>326</v>
      </c>
    </row>
    <row r="128" spans="1:2" ht="15.75">
      <c r="A128" s="97" t="s">
        <v>1296</v>
      </c>
      <c r="B128" s="98">
        <v>262000</v>
      </c>
    </row>
    <row r="129" spans="1:2" ht="15.75">
      <c r="A129" s="96"/>
      <c r="B129" s="96"/>
    </row>
    <row r="130" spans="1:2" ht="15.75">
      <c r="A130" s="97" t="s">
        <v>1286</v>
      </c>
      <c r="B130" s="97" t="s">
        <v>1318</v>
      </c>
    </row>
    <row r="131" spans="1:2" ht="15.75">
      <c r="A131" s="97" t="s">
        <v>1292</v>
      </c>
      <c r="B131" s="97" t="s">
        <v>327</v>
      </c>
    </row>
    <row r="132" spans="1:2" ht="15.75">
      <c r="A132" s="97" t="s">
        <v>1296</v>
      </c>
      <c r="B132" s="98">
        <v>191000</v>
      </c>
    </row>
    <row r="133" spans="1:2" ht="15.75">
      <c r="A133" s="96"/>
      <c r="B133" s="96"/>
    </row>
    <row r="134" spans="1:2" ht="15.75">
      <c r="A134" s="97" t="s">
        <v>1321</v>
      </c>
      <c r="B134" s="97" t="s">
        <v>140</v>
      </c>
    </row>
    <row r="135" spans="1:2">
      <c r="A135" s="170" t="s">
        <v>1323</v>
      </c>
      <c r="B135" s="94" t="s">
        <v>1357</v>
      </c>
    </row>
    <row r="136" spans="1:2">
      <c r="A136" s="170"/>
      <c r="B136" s="95" t="s">
        <v>396</v>
      </c>
    </row>
    <row r="137" spans="1:2" ht="15.75">
      <c r="A137" s="97" t="s">
        <v>1327</v>
      </c>
      <c r="B137" s="97" t="s">
        <v>1358</v>
      </c>
    </row>
    <row r="138" spans="1:2" ht="15.75">
      <c r="A138" s="97" t="s">
        <v>1330</v>
      </c>
      <c r="B138" s="99">
        <v>45987</v>
      </c>
    </row>
    <row r="139" spans="1:2" ht="15.75">
      <c r="A139" s="97" t="s">
        <v>1331</v>
      </c>
      <c r="B139" s="99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/>
</file>

<file path=customXml/itemProps2.xml><?xml version="1.0" encoding="utf-8"?>
<ds:datastoreItem xmlns:ds="http://schemas.openxmlformats.org/officeDocument/2006/customXml" ds:itemID="{24994462-9DC9-439A-A812-6A6D4FF15B42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2025-11-17T16:48:10Z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