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-my.sharepoint.com/personal/marcela_marques_macponta_com_br/Documents/Área de Trabalho/"/>
    </mc:Choice>
  </mc:AlternateContent>
  <xr:revisionPtr revIDLastSave="3" documentId="8_{E78932D8-FDD8-4F04-A441-F4F22BFCCFBB}" xr6:coauthVersionLast="47" xr6:coauthVersionMax="47" xr10:uidLastSave="{C0B9DE0C-3317-4A1A-B354-32EDF9290085}"/>
  <bookViews>
    <workbookView xWindow="-28920" yWindow="-120" windowWidth="29040" windowHeight="15720" activeTab="1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" i="13" l="1"/>
  <c r="AP6" i="13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E64" i="4"/>
  <c r="AX7" i="13"/>
  <c r="AZ3" i="13" s="1"/>
  <c r="AX8" i="13"/>
  <c r="AZ4" i="13" s="1"/>
  <c r="C39" i="4"/>
  <c r="C30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6" i="7"/>
  <c r="L7" i="7"/>
  <c r="D22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J4" i="13" s="1"/>
  <c r="E44" i="4"/>
  <c r="E43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3" i="4"/>
  <c r="E82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69" i="4"/>
  <c r="C69" i="4"/>
  <c r="E68" i="4"/>
  <c r="C68" i="4"/>
  <c r="E67" i="4"/>
  <c r="C67" i="4"/>
  <c r="C80" i="4"/>
  <c r="C81" i="4"/>
  <c r="E65" i="4"/>
  <c r="C65" i="4"/>
  <c r="E66" i="4"/>
  <c r="C66" i="4"/>
  <c r="C44" i="4"/>
  <c r="C43" i="4"/>
  <c r="C54" i="4"/>
  <c r="C55" i="4"/>
  <c r="N118" i="10"/>
  <c r="E42" i="7" s="1"/>
  <c r="N204" i="10"/>
  <c r="N205" i="10"/>
  <c r="N206" i="10"/>
  <c r="N207" i="10"/>
  <c r="C33" i="4"/>
  <c r="E75" i="4"/>
  <c r="E74" i="4"/>
  <c r="E71" i="4"/>
  <c r="E70" i="4"/>
  <c r="E62" i="4"/>
  <c r="E61" i="4"/>
  <c r="E60" i="4"/>
  <c r="E63" i="4"/>
  <c r="E40" i="4"/>
  <c r="E39" i="4"/>
  <c r="C75" i="4"/>
  <c r="C74" i="4"/>
  <c r="C76" i="4"/>
  <c r="C77" i="4"/>
  <c r="C71" i="4"/>
  <c r="C70" i="4"/>
  <c r="C72" i="4"/>
  <c r="C73" i="4"/>
  <c r="C62" i="4"/>
  <c r="C61" i="4"/>
  <c r="C60" i="4"/>
  <c r="C63" i="4"/>
  <c r="C64" i="4"/>
  <c r="C78" i="4"/>
  <c r="C79" i="4"/>
  <c r="C40" i="4"/>
  <c r="C41" i="4"/>
  <c r="C42" i="4"/>
  <c r="T53" i="4"/>
  <c r="E27" i="4"/>
  <c r="C27" i="4"/>
  <c r="C34" i="4"/>
  <c r="T52" i="4"/>
  <c r="C47" i="4"/>
  <c r="E46" i="4"/>
  <c r="C46" i="4"/>
  <c r="T49" i="4"/>
  <c r="T50" i="4"/>
  <c r="T51" i="4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2" i="4"/>
  <c r="C48" i="4"/>
  <c r="C26" i="4"/>
  <c r="E26" i="4"/>
  <c r="C50" i="4"/>
  <c r="C53" i="4"/>
  <c r="C51" i="4"/>
  <c r="C49" i="4"/>
  <c r="C31" i="4"/>
  <c r="C3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5" i="4"/>
  <c r="C14" i="4"/>
  <c r="C12" i="4"/>
  <c r="C13" i="4"/>
  <c r="C36" i="4"/>
  <c r="C35" i="4"/>
  <c r="C16" i="4"/>
  <c r="C19" i="4"/>
  <c r="C18" i="4"/>
  <c r="C17" i="4"/>
  <c r="C38" i="4"/>
  <c r="C37" i="4"/>
  <c r="C23" i="4"/>
  <c r="C20" i="4"/>
  <c r="C22" i="4"/>
  <c r="C21" i="4"/>
  <c r="C24" i="4"/>
  <c r="C28" i="4"/>
  <c r="C29" i="4"/>
  <c r="C83" i="4"/>
  <c r="C82" i="4"/>
  <c r="C45" i="4"/>
  <c r="C59" i="4"/>
  <c r="C58" i="4"/>
  <c r="C85" i="4"/>
  <c r="C84" i="4"/>
  <c r="C57" i="4"/>
  <c r="C56" i="4"/>
  <c r="C25" i="4"/>
  <c r="C4" i="4"/>
  <c r="E25" i="4"/>
  <c r="E10" i="4"/>
  <c r="E9" i="4"/>
  <c r="E12" i="4"/>
  <c r="E13" i="4"/>
  <c r="E16" i="4"/>
  <c r="E18" i="4"/>
  <c r="E17" i="4"/>
  <c r="H10" i="13" s="1"/>
  <c r="E23" i="4"/>
  <c r="E20" i="4"/>
  <c r="H14" i="13" s="1"/>
  <c r="E22" i="4"/>
  <c r="E21" i="4"/>
  <c r="E28" i="4"/>
  <c r="E29" i="4"/>
  <c r="E57" i="4"/>
  <c r="E56" i="4"/>
  <c r="T21" i="4"/>
  <c r="T22" i="4"/>
  <c r="T23" i="4"/>
  <c r="T24" i="4"/>
  <c r="U24" i="4" s="1" a="1"/>
  <c r="U24" i="4" s="1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U26" i="4" a="1"/>
  <c r="U26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14" i="7" s="1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52" i="4" l="1" a="1"/>
  <c r="U52" i="4" s="1"/>
  <c r="U51" i="4" a="1"/>
  <c r="U51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K4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Y4" i="13"/>
  <c r="Y3" i="13"/>
  <c r="W3" i="13"/>
  <c r="Z3" i="13" s="1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BF3" i="13" l="1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C4" i="13" s="1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<sst xmlns="http://schemas.openxmlformats.org/spreadsheetml/2006/main" count="3712" uniqueCount="1406">
  <si>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</si>
  <si>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</si>
  <si>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</si>
  <si>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</si>
  <si>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</si>
  <si>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</si>
  <si>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</si>
  <si>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</si>
  <si>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</si>
  <si>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</si>
  <si>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</si>
  <si>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</si>
  <si>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</si>
  <si>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</si>
  <si>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</si>
  <si>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</si>
  <si>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</si>
  <si>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</si>
  <si>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</si>
  <si>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</si>
  <si>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</si>
  <si>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</si>
  <si>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</si>
  <si>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</si>
  <si>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</si>
  <si>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</si>
  <si>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</si>
  <si>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</si>
  <si>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</si>
  <si>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</si>
  <si>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</si>
  <si>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</si>
  <si>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</si>
  <si>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</si>
  <si>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</si>
  <si>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</si>
  <si>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</si>
  <si>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</si>
  <si>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</si>
  <si>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</si>
  <si>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</si>
  <si>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</si>
  <si>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</si>
  <si>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</si>
  <si>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</si>
  <si>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</si>
  <si>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</si>
  <si>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</si>
  <si>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</si>
  <si>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</si>
  <si>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</si>
  <si>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</si>
  <si>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</si>
  <si>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</si>
  <si>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</si>
  <si>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</si>
  <si>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</si>
  <si>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</si>
  <si>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</si>
  <si>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</si>
  <si>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</si>
  <si>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</si>
  <si>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</si>
  <si>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</si>
  <si>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</si>
  <si>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</si>
  <si>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</si>
  <si>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</si>
  <si>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</si>
  <si>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</si>
  <si>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</si>
  <si>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</si>
  <si>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</si>
  <si>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</si>
  <si>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</si>
  <si>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</si>
  <si>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</si>
  <si>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</si>
  <si>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</si>
  <si>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</si>
  <si>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</si>
  <si>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</si>
  <si>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</si>
  <si>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</si>
  <si>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</si>
  <si>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</si>
  <si>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</si>
  <si>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</si>
  <si>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</si>
  <si>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</si>
  <si>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</si>
  <si>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</si>
  <si>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</si>
  <si>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</si>
  <si>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</si>
  <si>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</si>
  <si>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</si>
  <si>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</si>
  <si>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</si>
  <si>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</si>
  <si>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</si>
  <si>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</si>
  <si>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</si>
  <si>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</si>
  <si>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</si>
  <si>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</si>
  <si>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</si>
  <si>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</si>
  <si>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</si>
  <si>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</si>
  <si>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</si>
  <si>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</si>
  <si>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</si>
  <si>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</si>
  <si>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</si>
  <si>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</si>
  <si>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</si>
  <si>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</si>
  <si>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</si>
  <si>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</si>
  <si>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</si>
  <si>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</si>
  <si>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</si>
  <si>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</si>
  <si>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</si>
  <si>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</si>
  <si>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</si>
  <si>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</si>
  <si>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</si>
  <si>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</si>
  <si>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</si>
  <si>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</si>
  <si>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</si>
  <si>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</si>
  <si>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</si>
  <si>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</si>
  <si>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</si>
  <si>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</si>
  <si>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</si>
  <si>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</si>
  <si>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</si>
  <si>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</si>
  <si>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</si>
  <si>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</si>
  <si>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</si>
  <si>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</si>
  <si>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</si>
  <si>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</si>
  <si>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</si>
  <si>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</si>
  <si>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</si>
  <si>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</si>
  <si>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</si>
  <si>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</si>
  <si>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</si>
  <si>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</si>
  <si>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</si>
  <si>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</si>
  <si>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</si>
  <si>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</si>
  <si>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</si>
  <si>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</si>
  <si>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</si>
  <si>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</si>
  <si>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</si>
  <si>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</si>
  <si>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</si>
  <si>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</si>
  <si>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</si>
  <si>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</si>
  <si>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</si>
  <si>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</si>
  <si>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</si>
  <si>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</si>
  <si>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</si>
  <si>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</si>
  <si>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</si>
  <si>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</si>
  <si>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</si>
  <si>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</si>
  <si>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</si>
  <si>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</si>
  <si>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</si>
  <si>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</si>
  <si>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</si>
  <si>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</si>
  <si>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</si>
  <si>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</si>
  <si>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</si>
  <si>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</si>
  <si>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</si>
  <si>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</si>
  <si>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</si>
  <si>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</si>
  <si>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</si>
  <si>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</si>
  <si>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</si>
  <si>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</si>
  <si>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</si>
  <si>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</si>
  <si>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</si>
  <si>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</si>
  <si>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</si>
  <si>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</si>
  <si>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</si>
  <si>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</si>
  <si>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</si>
  <si>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</si>
  <si>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</si>
  <si>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</si>
  <si>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</si>
  <si>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</si>
  <si>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</si>
  <si>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</si>
  <si>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</si>
  <si>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</si>
  <si>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</si>
  <si>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</si>
  <si>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</si>
  <si>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</si>
  <si>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</si>
  <si>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</si>
  <si>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</si>
  <si>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</si>
  <si>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</si>
  <si>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</si>
  <si>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</si>
  <si>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</si>
  <si>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</si>
  <si>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</si>
  <si>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</si>
  <si>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</si>
  <si>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</si>
  <si>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</si>
  <si>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</si>
  <si>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</si>
  <si>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</si>
  <si>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</si>
  <si>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</si>
  <si>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</si>
  <si>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</si>
  <si>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</si>
  <si>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</si>
  <si>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</si>
  <si>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</si>
  <si>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</si>
  <si>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</si>
  <si>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</si>
  <si>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</si>
  <si>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</si>
  <si>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</si>
  <si>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</si>
  <si>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</si>
  <si>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</si>
  <si>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</si>
  <si>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</si>
  <si>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</si>
  <si>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PRUDENTÓPOLIS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</si>
  <si>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</si>
  <si>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</si>
  <si>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</si>
  <si>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</si>
  <si>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</si>
  <si>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</si>
  <si>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</si>
  <si>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</si>
  <si>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</si>
  <si>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</si>
  <si>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</si>
  <si>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</si>
  <si>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</si>
  <si>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</si>
  <si>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</si>
  <si>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</si>
  <si>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</si>
  <si>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</si>
  <si>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</si>
  <si>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</si>
  <si>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</si>
  <si>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</si>
  <si>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</si>
  <si>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</si>
  <si>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</si>
  <si>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</si>
  <si>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</si>
  <si>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</si>
  <si>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</si>
  <si>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</si>
  <si>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</si>
  <si>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</si>
  <si>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</si>
  <si>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</si>
  <si>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</si>
  <si>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</si>
  <si>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</si>
  <si>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</si>
  <si>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</si>
  <si>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</si>
  <si>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</si>
  <si>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</si>
  <si>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</si>
  <si>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</si>
  <si>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</si>
  <si>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</si>
  <si>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</si>
  <si>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</si>
  <si>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</si>
  <si>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</si>
  <si>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</si>
  <si>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</si>
  <si>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</si>
  <si>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</si>
  <si>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</si>
  <si>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</si>
  <si>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</si>
  <si>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</si>
  <si>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</si>
  <si>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SUSPENSO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</si>
  <si>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</si>
  <si>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</si>
  <si>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</si>
  <si>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</si>
  <si>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</si>
  <si>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</si>
  <si>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EM ROTA (D)</t>
  </si>
  <si>
    <t>1BM7230CVS3001962</t>
  </si>
  <si>
    <t>FAZENDINHA -NF61895</t>
  </si>
  <si>
    <t>DE CLIENTE PARA CLIENTE</t>
  </si>
  <si>
    <t>https://maps.app.goo.gl/HAQzMitpSPVxhKFi9</t>
  </si>
  <si>
    <t>1CQ1213AHS0155196</t>
  </si>
  <si>
    <t>PLANTADEIRA</t>
  </si>
  <si>
    <t>PROGRAMADO (D)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</si>
  <si>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</si>
  <si>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</si>
  <si>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</si>
  <si>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</si>
  <si>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</si>
  <si>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</si>
  <si>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</si>
  <si>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</si>
  <si>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</si>
  <si>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</si>
  <si>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</si>
  <si>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</si>
  <si>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</si>
  <si>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</si>
  <si>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</si>
  <si>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</si>
  <si>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</si>
  <si>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</si>
  <si>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</si>
  <si>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</si>
  <si>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</si>
  <si>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</si>
  <si>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</si>
  <si>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</si>
  <si>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</si>
  <si>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</si>
  <si>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</si>
  <si>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</si>
  <si>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</si>
  <si>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</si>
  <si>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</si>
  <si>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</si>
  <si>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</si>
  <si>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</si>
  <si>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</si>
  <si>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</si>
  <si>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</si>
  <si>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</si>
  <si>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</si>
  <si>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</si>
  <si>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</si>
  <si>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</si>
  <si>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</si>
  <si>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</si>
  <si>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</si>
  <si>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</si>
  <si>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</si>
  <si>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</si>
  <si>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</si>
  <si>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</si>
  <si>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</si>
  <si>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</si>
  <si>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</si>
  <si>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</si>
  <si>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</si>
  <si>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</si>
  <si>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</si>
  <si>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</si>
  <si>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</si>
  <si>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</si>
  <si>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</si>
  <si>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</si>
  <si>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</si>
  <si>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</si>
  <si>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</si>
  <si>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</si>
  <si>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</si>
  <si>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</si>
  <si>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</si>
  <si>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</si>
  <si>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</si>
  <si>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</si>
  <si>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</si>
  <si>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</si>
  <si>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</si>
  <si>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</si>
  <si>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</si>
  <si>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</si>
  <si>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</si>
  <si>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</si>
  <si>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</si>
  <si>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</si>
  <si>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</si>
  <si>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</si>
  <si>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</si>
  <si>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</si>
  <si>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</si>
  <si>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</si>
  <si>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</si>
  <si>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</si>
  <si>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</si>
  <si>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</si>
  <si>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</si>
  <si>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</si>
  <si>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</si>
  <si>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</si>
  <si>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</si>
  <si>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</si>
  <si>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</si>
  <si>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</si>
  <si>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</si>
  <si>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</si>
  <si>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</si>
  <si>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</si>
  <si>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</si>
  <si>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</si>
  <si>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</si>
  <si>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</si>
  <si>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</si>
  <si>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</si>
  <si>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</si>
  <si>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</si>
  <si>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</si>
  <si>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</si>
  <si>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</si>
  <si>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</si>
  <si>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</si>
  <si>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</si>
  <si>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</si>
  <si>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</si>
  <si>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</si>
  <si>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</si>
  <si>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</si>
  <si>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</si>
  <si>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</si>
  <si>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</si>
  <si>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</si>
  <si>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</si>
  <si>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</si>
  <si>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</si>
  <si>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</si>
  <si>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</si>
  <si>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</si>
  <si>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</si>
  <si>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</si>
  <si>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</si>
  <si>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</si>
  <si>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</si>
  <si>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</si>
  <si>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</si>
  <si>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</si>
  <si>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</si>
  <si>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</si>
  <si>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</si>
  <si>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</si>
  <si>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</si>
  <si>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</si>
  <si>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</si>
  <si>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</si>
  <si>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</si>
  <si>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</si>
  <si>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</si>
  <si>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</si>
  <si>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</si>
  <si>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</si>
  <si>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</si>
  <si>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</si>
  <si>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</si>
  <si>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</si>
  <si>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</si>
  <si>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</si>
  <si>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</si>
  <si>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</si>
  <si>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</si>
  <si>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</si>
  <si>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</si>
  <si>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</si>
  <si>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</si>
  <si>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</si>
  <si>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</si>
  <si>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</si>
  <si>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</si>
  <si>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</si>
  <si>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</si>
  <si>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</si>
  <si>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</si>
  <si>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</si>
  <si>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</si>
  <si>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</si>
  <si>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</si>
  <si>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</si>
  <si>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</si>
  <si>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</si>
  <si>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</si>
  <si>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</si>
  <si>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</si>
  <si>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</si>
  <si>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</si>
  <si>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</si>
  <si>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</si>
  <si>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</si>
  <si>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</si>
  <si>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</si>
  <si>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</si>
  <si>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</si>
  <si>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</si>
  <si>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</si>
  <si>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</si>
  <si>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</si>
  <si>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</si>
  <si>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</si>
  <si>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</si>
  <si>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</si>
  <si>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</si>
  <si>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</si>
  <si>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</si>
  <si>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</si>
  <si>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047871</t>
  </si>
  <si>
    <t>047872</t>
  </si>
  <si>
    <t>JAPA MARRERO -TR MAQ</t>
  </si>
  <si>
    <t>TRANSPORTE DE TRATOR DE SANTANA DO ITARARE PARA ARAPOT</t>
  </si>
  <si>
    <t>Transporte de distribuidor de fertilizantes em Indaiatuba para</t>
  </si>
  <si>
    <t>047873</t>
  </si>
  <si>
    <t>MULTISOLDAS E MUNCK</t>
  </si>
  <si>
    <t>munck: (des)carregar  peças e implementos para a loja (Pneus em 2 dias da semana)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</si>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</sst>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5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58" fillId="0" borderId="25" xfId="0" applyFont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border outline="0"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2298.0812500000002</c:v>
                </c:pt>
                <c:pt idx="1">
                  <c:v>0</c:v>
                </c:pt>
                <c:pt idx="2">
                  <c:v>732</c:v>
                </c:pt>
                <c:pt idx="3">
                  <c:v>271.875</c:v>
                </c:pt>
                <c:pt idx="4">
                  <c:v>734.375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17359.3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0.2487675197106709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JAPONES</c:v>
                </c:pt>
                <c:pt idx="6">
                  <c:v>TERCEIRO DEMETRIO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1328</c:v>
                </c:pt>
                <c:pt idx="6">
                  <c:v>1100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3069</c:v>
                </c:pt>
                <c:pt idx="1">
                  <c:v>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13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0.7377403846153846</c:v>
                </c:pt>
                <c:pt idx="1">
                  <c:v>0.47382812499999993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1574</xdr:colOff>
      <xdr:row>38</xdr:row>
      <xdr:rowOff>37560</xdr:rowOff>
    </xdr:from>
    <xdr:to>
      <xdr:col>16</xdr:col>
      <xdr:colOff>274046</xdr:colOff>
      <xdr:row>57</xdr:row>
      <xdr:rowOff>163286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16</xdr:col>
      <xdr:colOff>361406</xdr:colOff>
      <xdr:row>38</xdr:row>
      <xdr:rowOff>169041</xdr:rowOff>
    </xdr:from>
    <xdr:to>
      <xdr:col>23</xdr:col>
      <xdr:colOff>593000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6729</xdr:colOff>
      <xdr:row>39</xdr:row>
      <xdr:rowOff>108634</xdr:rowOff>
    </xdr:from>
    <xdr:to>
      <xdr:col>37</xdr:col>
      <xdr:colOff>833529</xdr:colOff>
      <xdr:row>53</xdr:row>
      <xdr:rowOff>37758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47041</xdr:colOff>
      <xdr:row>57</xdr:row>
      <xdr:rowOff>147138</xdr:rowOff>
    </xdr:from>
    <xdr:to>
      <xdr:col>37</xdr:col>
      <xdr:colOff>866741</xdr:colOff>
      <xdr:row>70</xdr:row>
      <xdr:rowOff>109241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16</xdr:col>
      <xdr:colOff>489857</xdr:colOff>
      <xdr:row>58</xdr:row>
      <xdr:rowOff>96983</xdr:rowOff>
    </xdr:from>
    <xdr:to>
      <xdr:col>23</xdr:col>
      <xdr:colOff>377280</xdr:colOff>
      <xdr:row>74</xdr:row>
      <xdr:rowOff>36023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10</xdr:col>
      <xdr:colOff>577216</xdr:colOff>
      <xdr:row>59</xdr:row>
      <xdr:rowOff>157933</xdr:rowOff>
    </xdr:from>
    <xdr:to>
      <xdr:col>16</xdr:col>
      <xdr:colOff>501558</xdr:colOff>
      <xdr:row>75</xdr:row>
      <xdr:rowOff>131713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70</xdr:row>
      <xdr:rowOff>159475</xdr:rowOff>
    </xdr:from>
    <xdr:to>
      <xdr:col>5</xdr:col>
      <xdr:colOff>521970</xdr:colOff>
      <xdr:row>87</xdr:row>
      <xdr:rowOff>68035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635001</xdr:colOff>
      <xdr:row>71</xdr:row>
      <xdr:rowOff>68804</xdr:rowOff>
    </xdr:from>
    <xdr:to>
      <xdr:col>10</xdr:col>
      <xdr:colOff>412750</xdr:colOff>
      <xdr:row>87</xdr:row>
      <xdr:rowOff>109575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35</xdr:col>
      <xdr:colOff>295457</xdr:colOff>
      <xdr:row>39</xdr:row>
      <xdr:rowOff>66313</xdr:rowOff>
    </xdr:from>
    <xdr:to>
      <xdr:col>40</xdr:col>
      <xdr:colOff>1310005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99" dataDxfId="198">
  <autoFilter ref="A1:S85" xr:uid="{721DFAF5-07E2-4C34-9DA3-6DAA1EB10B39}"/>
  <sortState xmlns:xlrd2="http://schemas.microsoft.com/office/spreadsheetml/2017/richdata2" ref="A2:S85">
    <sortCondition ref="A1:A85"/>
  </sortState>
  <tableColumns count="19">
    <tableColumn id="1" xr3:uid="{74088FA4-9F2D-4E29-80DA-4FFA894E77F4}" name="STATUS" dataDxfId="197"/>
    <tableColumn id="2" xr3:uid="{8BF83C7C-9ED1-47DD-BC5F-63DA1560216C}" name="FRETE" dataDxfId="196"/>
    <tableColumn id="3" xr3:uid="{B758A2AA-452E-4F91-A2A6-E8CD9100E3DE}" name="HR" dataDxfId="195">
      <calculatedColumnFormula>IFERROR((D2*1.5)/1440, "?")</calculatedColumnFormula>
    </tableColumn>
    <tableColumn id="4" xr3:uid="{65BC45AA-44C5-4933-ADBD-7603EB922BE5}" name="KM" dataDxfId="194"/>
    <tableColumn id="5" xr3:uid="{276116FF-109D-41D4-97B8-33BDEC97F408}" name="R$ PROP" dataDxfId="193">
      <calculatedColumnFormula>IFERROR((D2*6),"?")</calculatedColumnFormula>
    </tableColumn>
    <tableColumn id="6" xr3:uid="{70534257-D783-4146-96E1-2E685CBB89A4}" name="R$ TERC" dataDxfId="192"/>
    <tableColumn id="7" xr3:uid="{3D60D21C-F567-43A3-8E40-BE7F689ECF34}" name="CHASSI" dataDxfId="191"/>
    <tableColumn id="8" xr3:uid="{52559DB2-54FE-4292-B44C-9CD4CF656213}" name="PREV" dataDxfId="190"/>
    <tableColumn id="9" xr3:uid="{83C52D74-44DB-466D-8572-853956B9E720}" name="REAL" dataDxfId="189"/>
    <tableColumn id="10" xr3:uid="{F096729E-B5E6-4D3D-B03C-234DF10FC38E}" name="CLIENTE/NOTA" dataDxfId="188"/>
    <tableColumn id="11" xr3:uid="{9AD47A28-9E98-4261-BB4E-53A18FCF11A6}" name="SOLICITANTE" dataDxfId="187"/>
    <tableColumn id="12" xr3:uid="{797C4B0D-8EC2-4476-9B1D-9680399D22D2}" name="ESTÁ:" dataDxfId="186"/>
    <tableColumn id="13" xr3:uid="{78010355-1A74-41F4-AEBD-3035D2289546}" name="VAI:" dataDxfId="185"/>
    <tableColumn id="14" xr3:uid="{77527C27-6C98-47E9-848B-1D141B3F645A}" name="TIPO" dataDxfId="184"/>
    <tableColumn id="15" xr3:uid="{7B83F651-80C0-40BF-A436-446D32DB61AE}" name="ESTÁ EM:" dataDxfId="183"/>
    <tableColumn id="16" xr3:uid="{26BED5E2-C25C-4647-855D-C4EE6753E61E}" name="VAI PARA:" dataDxfId="182"/>
    <tableColumn id="17" xr3:uid="{22FC017A-B677-426F-90FC-92BAB89D9B4A}" name="OBS" dataDxfId="181"/>
    <tableColumn id="18" xr3:uid="{5AC9D283-0F34-4EF4-A53A-85F8F57E85F2}" name="FILIAL CUSTOS" dataDxfId="180"/>
    <tableColumn id="19" xr3:uid="{DC4F9CD0-326F-411D-8AC9-ED6CAB7FB1E9}" name="EQUIP" dataDxfId="179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78" dataDxfId="177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176"/>
    <tableColumn id="2" xr3:uid="{4398062D-7437-47E0-8D47-2FB2DD82042D}" name="FILIAL" dataDxfId="175"/>
    <tableColumn id="3" xr3:uid="{5B021649-4C1E-448A-856D-B68EBD29FE35}" name="DATA" dataDxfId="174"/>
    <tableColumn id="4" xr3:uid="{20475BEE-899B-4456-A60C-6E5E5830D60A}" name="PDDO" dataDxfId="173"/>
    <tableColumn id="5" xr3:uid="{52167736-38DB-447F-ABA5-F7F3030C6685}" name="CÓD" dataDxfId="172">
      <calculatedColumnFormula>_xlfn.XLOOKUP(F2,UTIL!Q:Q,UTIL!N:N,"-")</calculatedColumnFormula>
    </tableColumn>
    <tableColumn id="6" xr3:uid="{EC59F397-0DDF-40D5-9D4F-3232B9F3E3AA}" name="FORNECEDOR" dataDxfId="171"/>
    <tableColumn id="7" xr3:uid="{B62521F7-8D78-4799-9138-F4577472D985}" name="VALOR" dataDxfId="170"/>
    <tableColumn id="8" xr3:uid="{0C453D36-D8CB-40C7-924E-11F2DFA712D7}" name="STATUS PC" dataDxfId="169"/>
    <tableColumn id="9" xr3:uid="{48F02895-65FB-49A4-90AC-03012C204F59}" name="Nº NOTA" dataDxfId="168"/>
    <tableColumn id="10" xr3:uid="{09FC5BAE-1C5A-4726-9E49-5D8CA8695440}" name="LANÇADA" dataDxfId="167"/>
    <tableColumn id="11" xr3:uid="{B1E9C8B8-2111-4A21-9D28-51C2A1C336F9}" name="OBSERVAÇÕES" dataDxfId="166"/>
    <tableColumn id="12" xr3:uid="{B0E66A71-C06E-4E69-B75F-5C2A26766683}" name="SALVAR COMO" dataDxfId="165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64" dataDxfId="163">
  <autoFilter ref="A1:O2" xr:uid="{96ED262C-7768-4BDA-8D29-F168B9CAB568}"/>
  <tableColumns count="15">
    <tableColumn id="1" xr3:uid="{B69EFEFF-F887-4E78-AED9-36BFD47C2163}" name="STATUS" dataDxfId="162"/>
    <tableColumn id="2" xr3:uid="{511D0392-1B92-4D5F-98DD-1C91F6205B11}" name="SOLICITANTE" dataDxfId="161"/>
    <tableColumn id="3" xr3:uid="{B8F596C2-530A-4F4E-B3EA-DA7EFDD27017}" name="DATA DA COLETA" dataDxfId="160"/>
    <tableColumn id="4" xr3:uid="{335FD71F-F30D-4127-A0A4-D426AF2905F5}" name="ENTREGAR ATÉ" dataDxfId="159"/>
    <tableColumn id="5" xr3:uid="{D7065B1F-B165-4C67-A25B-3F3D59C82514}" name="MOTOBOY OU DEDICADO?" dataDxfId="158"/>
    <tableColumn id="6" xr3:uid="{9B4C8DC0-A002-44B4-A11D-9A85D683BD3B}" name="ESCOLHA O MOTOBOY" dataDxfId="157"/>
    <tableColumn id="7" xr3:uid="{9EB62DF8-D35F-4A19-AB06-D3EE65940E69}" name="VALOR DO SERVIÇO" dataDxfId="156"/>
    <tableColumn id="8" xr3:uid="{C3036426-E777-46AB-84E5-08F83C7C9F53}" name="QUEM IRÁ PAGAR?" dataDxfId="155"/>
    <tableColumn id="9" xr3:uid="{0390CDD6-5242-4A5E-9D53-EED122D1E773}" name="DESCRIÇÃO" dataDxfId="154"/>
    <tableColumn id="10" xr3:uid="{FBE8999B-D804-4BFB-A0E7-72089F3212C5}" name="PC PARA LOJA" dataDxfId="153"/>
    <tableColumn id="11" xr3:uid="{16B4FCA8-5A17-4B38-9C2F-3C425FA1D0A3}" name="ENVIAR PC PARA" dataDxfId="152"/>
    <tableColumn id="12" xr3:uid="{B5E3C04A-C416-406E-A41C-9B7D05AF6671}" name="DIMENSÕES" dataDxfId="151"/>
    <tableColumn id="13" xr3:uid="{53E9EDB7-BFDB-4482-B5CF-080269012427}" name="LOC COLETA" dataDxfId="150"/>
    <tableColumn id="14" xr3:uid="{04D10BCA-DA76-463F-8C98-1877641F1A10}" name="LOC ENTREGA" dataDxfId="149"/>
    <tableColumn id="15" xr3:uid="{71FE7848-F2AE-4B15-AC80-5B18D6B94E26}" name="SUGESTÃO TRANSP" dataDxfId="14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147" dataDxfId="145" headerRowBorderDxfId="146" tableBorderDxfId="144" totalsRowBorderDxfId="143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142"/>
    <tableColumn id="2" xr3:uid="{1D422C75-258D-45A9-B19A-695228AE7C4B}" name="TRATOR" dataDxfId="141">
      <calculatedColumnFormula>AVERAGE(C5:C6)</calculatedColumnFormula>
    </tableColumn>
    <tableColumn id="3" xr3:uid="{6C18BE36-5939-4F1F-91A2-B91B9D684151}" name="PLANTADEIRA" dataDxfId="140">
      <calculatedColumnFormula>AVERAGE(D5:D6)</calculatedColumnFormula>
    </tableColumn>
    <tableColumn id="4" xr3:uid="{35E991D9-F979-40C7-B9A1-DA488AED5F71}" name="PULVERIZADOR" dataDxfId="139">
      <calculatedColumnFormula>AVERAGE(E5:E6)</calculatedColumnFormula>
    </tableColumn>
    <tableColumn id="5" xr3:uid="{DF98DB61-7AE5-4D1C-A1A1-845079D32C13}" name="PLATAFORMA" dataDxfId="138">
      <calculatedColumnFormula>AVERAGE(F5:F6)</calculatedColumnFormula>
    </tableColumn>
    <tableColumn id="6" xr3:uid="{604AF965-DBA7-4426-A32A-E68650942657}" name="COLHEITADEIRA" dataDxfId="137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136" headerRowBorderDxfId="135" tableBorderDxfId="134" totalsRowBorderDxfId="133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132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131" headerRowBorderDxfId="130" tableBorderDxfId="129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128"/>
    <tableColumn id="2" xr3:uid="{D8593647-4DFE-4968-9C2F-EFE63CB54537}" name="VALOR" dataDxfId="127">
      <calculatedColumnFormula>SUMIF('FRETE MÁQUINAS'!$B:$E,CUSTOS!V3,'FRETE MÁQUINAS'!$E:$E)</calculatedColumnFormula>
    </tableColumn>
    <tableColumn id="3" xr3:uid="{91ADD599-670C-404F-A4D8-3F31415D6B8D}" name="QTD VIAGEM" dataDxfId="126">
      <calculatedColumnFormula>COUNTIF('FRETE MÁQUINAS'!B:B,CUSTOS!V3)</calculatedColumnFormula>
    </tableColumn>
    <tableColumn id="4" xr3:uid="{D5D9BD92-CE56-475E-8193-B53172AD0319}" name="QTD KM" dataDxfId="125">
      <calculatedColumnFormula>SUMIF('FRETE MÁQUINAS'!$B:$E,CUSTOS!V3,'FRETE MÁQUINAS'!$D:$D)</calculatedColumnFormula>
    </tableColumn>
    <tableColumn id="5" xr3:uid="{145E1CDE-4EF3-4DCE-9CD0-B23509827A48}" name="VALOR KM" dataDxfId="124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123" headerRowBorderDxfId="122" tableBorderDxfId="121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120"/>
    <tableColumn id="2" xr3:uid="{FEA941CD-89D6-40EF-BF54-96BB3005BED4}" name="VALOR" dataDxfId="119"/>
    <tableColumn id="3" xr3:uid="{CC1D87A7-D317-44BF-968E-003D95A1C253}" name="QTD" dataDxfId="118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117" headerRowBorderDxfId="116" tableBorderDxfId="115">
  <autoFilter ref="AF2:AG10" xr:uid="{2F81A9AF-2691-4D7C-989E-9D70DE1745EC}"/>
  <tableColumns count="2">
    <tableColumn id="1" xr3:uid="{672E551B-8B12-4A45-9216-9D5268953E4A}" name="MOTOBOY - PC" dataDxfId="114"/>
    <tableColumn id="2" xr3:uid="{B3D31F1E-9A17-4AB8-8519-BE9C90A00020}" name="VALOR" dataDxfId="113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112" headerRowBorderDxfId="111" tableBorderDxfId="110">
  <autoFilter ref="AI2:AJ10" xr:uid="{B2BFE461-3D89-4386-8512-F0738F242B64}"/>
  <tableColumns count="2">
    <tableColumn id="1" xr3:uid="{89961DF0-DFDC-4824-B08E-B88F3A005251}" name="TRANSPORTADORAS - PC" dataDxfId="109"/>
    <tableColumn id="2" xr3:uid="{0B94A03E-3E2C-4032-A12D-AF6B500F562C}" name="VALOR" dataDxfId="108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107" headerRowBorderDxfId="106" tableBorderDxfId="105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104"/>
    <tableColumn id="2" xr3:uid="{4F899959-084C-433A-8F3F-E688AFE69EE7}" name="VALOR" dataDxfId="103"/>
    <tableColumn id="3" xr3:uid="{94F6C714-B969-400E-B8CB-4F1C74215788}" name="QTD VIAGEM" dataDxfId="102"/>
    <tableColumn id="4" xr3:uid="{0CE57C9C-CAD3-4232-A5EE-9013EC443394}" name="QTD KM" dataDxfId="101"/>
    <tableColumn id="5" xr3:uid="{E15D1BDD-C8CD-409D-BD6A-CD1725A817D5}" name="VALOR KM" dataDxfId="100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99" headerRowBorderDxfId="98" tableBorderDxfId="97" totalsRowBorderDxfId="96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95">
      <calculatedColumnFormula>IF(BJ3=0,"",BJ3)</calculatedColumnFormula>
    </tableColumn>
    <tableColumn id="2" xr3:uid="{1FAB9EC6-ADB0-4921-8FAC-4B4E945CCFC9}" name="VALOR" dataDxfId="94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93" headerRowBorderDxfId="92" tableBorderDxfId="91" totalsRowBorderDxfId="90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89">
      <calculatedColumnFormula>IF(BM3=0,"",BM3)</calculatedColumnFormula>
    </tableColumn>
    <tableColumn id="2" xr3:uid="{5BAE02B0-59F6-4DC0-BBFF-7CB2760B69FD}" name="VALOR" dataDxfId="88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87" tableBorderDxfId="86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85"/>
    <tableColumn id="2" xr3:uid="{EE058FBC-81EB-4965-950C-83600B6FFFB1}" name="VALOR" dataDxfId="84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83" tableBorderDxfId="82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1"/>
    <tableColumn id="2" xr3:uid="{8A5008F5-B063-4C97-B0D3-5AD9CBC10D85}" name="VALOR" dataDxfId="80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79" headerRowBorderDxfId="78" tableBorderDxfId="77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76"/>
    <tableColumn id="2" xr3:uid="{9B9621E5-1F5E-408D-A40C-3455CA7E8E2C}" name="QTD KM" dataDxfId="75">
      <calculatedColumnFormula>Y3</calculatedColumnFormula>
    </tableColumn>
    <tableColumn id="3" xr3:uid="{34B29A8C-CA08-4562-912A-F3427272DA37}" name="QTD D/DIAS" dataDxfId="74">
      <calculatedColumnFormula>AX7</calculatedColumnFormula>
    </tableColumn>
    <tableColumn id="4" xr3:uid="{214820EB-DA68-448C-9D85-AE2A661620EB}" name="APROVEITAMENTO" dataDxfId="73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19" t="s">
        <v>0</v>
      </c>
      <c r="B1" s="19" t="s">
        <v>1</v>
      </c>
      <c r="C1" s="19" t="s">
        <v>2</v>
      </c>
    </row>
    <row r="2" spans="1:5" x14ac:dyDescent="0.3">
      <c r="A2" s="31" t="s">
        <v>3</v>
      </c>
      <c r="B2" s="31" t="s">
        <v>4</v>
      </c>
      <c r="C2" s="31" t="s">
        <v>5</v>
      </c>
    </row>
    <row r="3" spans="1:5" ht="18" x14ac:dyDescent="0.35">
      <c r="A3" s="31" t="s">
        <v>6</v>
      </c>
      <c r="B3" s="32" t="s">
        <v>7</v>
      </c>
      <c r="C3" s="32" t="s">
        <v>8</v>
      </c>
      <c r="E3" s="63" t="s">
        <v>9</v>
      </c>
    </row>
    <row r="4" spans="1:5" x14ac:dyDescent="0.3">
      <c r="A4" s="31" t="s">
        <v>10</v>
      </c>
      <c r="B4" s="32">
        <v>2010</v>
      </c>
      <c r="C4" s="32">
        <v>2022</v>
      </c>
    </row>
    <row r="5" spans="1:5" x14ac:dyDescent="0.3">
      <c r="A5" s="31" t="s">
        <v>11</v>
      </c>
      <c r="B5" s="32" t="s">
        <v>12</v>
      </c>
      <c r="C5" s="32" t="s">
        <v>12</v>
      </c>
    </row>
    <row r="6" spans="1:5" x14ac:dyDescent="0.3">
      <c r="A6" s="31" t="s">
        <v>13</v>
      </c>
      <c r="B6" s="32" t="s">
        <v>14</v>
      </c>
      <c r="C6" s="32" t="s">
        <v>14</v>
      </c>
    </row>
    <row r="7" spans="1:5" x14ac:dyDescent="0.3">
      <c r="A7" s="31" t="s">
        <v>15</v>
      </c>
      <c r="B7" s="32" t="s">
        <v>16</v>
      </c>
      <c r="C7" s="33" t="s">
        <v>17</v>
      </c>
    </row>
    <row r="8" spans="1:5" x14ac:dyDescent="0.3">
      <c r="A8" s="31" t="s">
        <v>18</v>
      </c>
      <c r="B8" s="32">
        <v>320</v>
      </c>
      <c r="C8" s="32">
        <v>410</v>
      </c>
    </row>
    <row r="9" spans="1:5" x14ac:dyDescent="0.3">
      <c r="A9" s="31" t="s">
        <v>19</v>
      </c>
      <c r="B9" s="32">
        <v>45</v>
      </c>
      <c r="C9" s="32">
        <v>45</v>
      </c>
    </row>
    <row r="10" spans="1:5" x14ac:dyDescent="0.3">
      <c r="A10" s="31" t="s">
        <v>20</v>
      </c>
      <c r="B10" s="32">
        <v>23</v>
      </c>
      <c r="C10" s="32">
        <v>29</v>
      </c>
    </row>
    <row r="11" spans="1:5" x14ac:dyDescent="0.3">
      <c r="A11" s="31" t="s">
        <v>21</v>
      </c>
      <c r="B11" s="32">
        <v>128</v>
      </c>
      <c r="C11" s="32">
        <v>140</v>
      </c>
    </row>
    <row r="12" spans="1:5" x14ac:dyDescent="0.3">
      <c r="A12" s="31" t="s">
        <v>22</v>
      </c>
      <c r="B12" s="32">
        <v>495</v>
      </c>
      <c r="C12" s="32">
        <v>495</v>
      </c>
    </row>
    <row r="13" spans="1:5" x14ac:dyDescent="0.3">
      <c r="A13" s="31" t="s">
        <v>23</v>
      </c>
      <c r="B13" s="32">
        <v>32</v>
      </c>
      <c r="C13" s="32">
        <v>32</v>
      </c>
    </row>
    <row r="14" spans="1:5" x14ac:dyDescent="0.3">
      <c r="A14" s="31" t="s">
        <v>24</v>
      </c>
      <c r="B14" s="32">
        <v>60</v>
      </c>
      <c r="C14" s="32">
        <v>60</v>
      </c>
    </row>
    <row r="15" spans="1:5" x14ac:dyDescent="0.3">
      <c r="A15" s="31" t="s">
        <v>25</v>
      </c>
      <c r="B15" s="32" t="s">
        <v>26</v>
      </c>
      <c r="C15" s="32" t="s">
        <v>27</v>
      </c>
    </row>
    <row r="16" spans="1:5" x14ac:dyDescent="0.3">
      <c r="A16" s="31" t="s">
        <v>28</v>
      </c>
      <c r="B16" s="34">
        <v>252400</v>
      </c>
      <c r="C16" s="34">
        <v>895000</v>
      </c>
    </row>
    <row r="17" spans="1:3" x14ac:dyDescent="0.3">
      <c r="A17" s="31" t="s">
        <v>29</v>
      </c>
      <c r="B17" s="34">
        <v>67300</v>
      </c>
      <c r="C17" s="34">
        <v>120000</v>
      </c>
    </row>
    <row r="18" spans="1:3" x14ac:dyDescent="0.3">
      <c r="A18" s="31" t="s">
        <v>30</v>
      </c>
      <c r="B18" s="35">
        <v>319700</v>
      </c>
      <c r="C18" s="35">
        <v>1015000</v>
      </c>
    </row>
    <row r="19" spans="1:3" x14ac:dyDescent="0.3">
      <c r="A19" s="36"/>
      <c r="B19" s="20"/>
      <c r="C19" s="20"/>
    </row>
    <row r="20" spans="1:3" x14ac:dyDescent="0.3">
      <c r="A20" s="31"/>
      <c r="B20" s="32" t="s">
        <v>4</v>
      </c>
      <c r="C20" s="37" t="s">
        <v>5</v>
      </c>
    </row>
    <row r="21" spans="1:3" x14ac:dyDescent="0.3">
      <c r="A21" s="21"/>
      <c r="B21" s="38" t="s">
        <v>31</v>
      </c>
      <c r="C21" s="38" t="s">
        <v>32</v>
      </c>
    </row>
    <row r="22" spans="1:3" x14ac:dyDescent="0.3">
      <c r="A22" s="21"/>
      <c r="B22" s="39" t="s">
        <v>33</v>
      </c>
      <c r="C22" s="38" t="s">
        <v>33</v>
      </c>
    </row>
    <row r="23" spans="1:3" x14ac:dyDescent="0.3">
      <c r="A23" s="21"/>
      <c r="B23" s="3"/>
      <c r="C23" s="39"/>
    </row>
    <row r="24" spans="1:3" x14ac:dyDescent="0.3">
      <c r="A24" s="21"/>
      <c r="B24" s="32"/>
      <c r="C24" s="34" t="s">
        <v>34</v>
      </c>
    </row>
    <row r="25" spans="1:3" x14ac:dyDescent="0.3">
      <c r="A25" s="21"/>
      <c r="B25" s="32"/>
      <c r="C25" s="34" t="s">
        <v>35</v>
      </c>
    </row>
    <row r="26" spans="1:3" x14ac:dyDescent="0.3">
      <c r="A26" s="21"/>
      <c r="B26" s="32"/>
      <c r="C26" s="32" t="s">
        <v>33</v>
      </c>
    </row>
    <row r="27" spans="1:3" x14ac:dyDescent="0.3">
      <c r="A27" s="21"/>
      <c r="B27" s="32"/>
      <c r="C27" s="32"/>
    </row>
    <row r="28" spans="1:3" x14ac:dyDescent="0.3">
      <c r="A28" s="245" t="s">
        <v>36</v>
      </c>
      <c r="B28" s="246"/>
      <c r="C28" s="247"/>
    </row>
    <row r="29" spans="1:3" x14ac:dyDescent="0.3">
      <c r="A29" s="245" t="s">
        <v>37</v>
      </c>
      <c r="B29" s="246"/>
      <c r="C29" s="247"/>
    </row>
    <row r="30" spans="1:3" x14ac:dyDescent="0.3">
      <c r="A30" s="245" t="s">
        <v>38</v>
      </c>
      <c r="B30" s="246"/>
      <c r="C30" s="247"/>
    </row>
    <row r="31" spans="1:3" x14ac:dyDescent="0.3">
      <c r="A31" s="245" t="s">
        <v>39</v>
      </c>
      <c r="B31" s="246"/>
      <c r="C31" s="247"/>
    </row>
    <row r="32" spans="1:3" x14ac:dyDescent="0.3">
      <c r="A32" s="245" t="s">
        <v>40</v>
      </c>
      <c r="B32" s="246"/>
      <c r="C32" s="247"/>
    </row>
    <row r="33" spans="1:3" x14ac:dyDescent="0.3">
      <c r="A33" s="22"/>
      <c r="B33" s="23"/>
      <c r="C33" s="24"/>
    </row>
    <row r="34" spans="1:3" x14ac:dyDescent="0.3">
      <c r="A34" s="40" t="s">
        <v>41</v>
      </c>
      <c r="B34" s="40" t="s">
        <v>42</v>
      </c>
      <c r="C34" s="40" t="s">
        <v>43</v>
      </c>
    </row>
    <row r="35" spans="1:3" x14ac:dyDescent="0.3">
      <c r="A35" s="41" t="s">
        <v>44</v>
      </c>
      <c r="B35" s="41">
        <v>11307</v>
      </c>
      <c r="C35" s="41">
        <v>11307</v>
      </c>
    </row>
    <row r="36" spans="1:3" x14ac:dyDescent="0.3">
      <c r="A36" s="41" t="s">
        <v>45</v>
      </c>
      <c r="B36" s="25" t="s">
        <v>46</v>
      </c>
      <c r="C36" s="41" t="s">
        <v>47</v>
      </c>
    </row>
    <row r="37" spans="1:3" x14ac:dyDescent="0.3">
      <c r="A37" s="26" t="s">
        <v>48</v>
      </c>
      <c r="B37" s="25" t="s">
        <v>46</v>
      </c>
      <c r="C37" s="41" t="s">
        <v>49</v>
      </c>
    </row>
    <row r="38" spans="1:3" x14ac:dyDescent="0.3">
      <c r="A38" s="26" t="s">
        <v>50</v>
      </c>
      <c r="B38" s="27" t="s">
        <v>51</v>
      </c>
      <c r="C38" s="28" t="s">
        <v>52</v>
      </c>
    </row>
    <row r="39" spans="1:3" x14ac:dyDescent="0.3">
      <c r="A39" s="29" t="s">
        <v>53</v>
      </c>
      <c r="B39" s="30" t="s">
        <v>54</v>
      </c>
      <c r="C39" s="42"/>
    </row>
    <row r="40" spans="1:3" x14ac:dyDescent="0.3">
      <c r="A40" s="23"/>
      <c r="B40" s="23"/>
      <c r="C40" s="23"/>
    </row>
    <row r="41" spans="1:3" x14ac:dyDescent="0.3">
      <c r="A41" s="242" t="s">
        <v>55</v>
      </c>
      <c r="B41" s="243"/>
      <c r="C41" s="244"/>
    </row>
    <row r="42" spans="1:3" x14ac:dyDescent="0.3">
      <c r="A42" s="242" t="s">
        <v>56</v>
      </c>
      <c r="B42" s="243"/>
      <c r="C42" s="244"/>
    </row>
    <row r="43" spans="1:3" x14ac:dyDescent="0.3">
      <c r="A43" s="23"/>
      <c r="B43" s="23"/>
      <c r="C43" s="23"/>
    </row>
    <row r="44" spans="1:3" x14ac:dyDescent="0.3">
      <c r="A44" s="19" t="s">
        <v>0</v>
      </c>
      <c r="B44" s="19" t="s">
        <v>1</v>
      </c>
      <c r="C44" s="19" t="s">
        <v>2</v>
      </c>
    </row>
    <row r="45" spans="1:3" x14ac:dyDescent="0.3">
      <c r="A45" s="36" t="s">
        <v>57</v>
      </c>
      <c r="B45" s="20" t="s">
        <v>31</v>
      </c>
      <c r="C45" s="20" t="s">
        <v>58</v>
      </c>
    </row>
    <row r="46" spans="1:3" x14ac:dyDescent="0.3">
      <c r="A46" s="31" t="s">
        <v>59</v>
      </c>
      <c r="B46" s="37" t="s">
        <v>60</v>
      </c>
      <c r="C46" s="37" t="s">
        <v>61</v>
      </c>
    </row>
    <row r="47" spans="1:3" x14ac:dyDescent="0.3">
      <c r="A47" s="31" t="s">
        <v>62</v>
      </c>
      <c r="B47" s="32" t="s">
        <v>60</v>
      </c>
      <c r="C47" s="38">
        <v>44931</v>
      </c>
    </row>
    <row r="48" spans="1:3" x14ac:dyDescent="0.3">
      <c r="A48" s="31" t="s">
        <v>63</v>
      </c>
      <c r="B48" s="38">
        <v>44931</v>
      </c>
      <c r="C48" s="38">
        <v>44931</v>
      </c>
    </row>
    <row r="49" spans="1:3" x14ac:dyDescent="0.3">
      <c r="A49" s="31" t="s">
        <v>64</v>
      </c>
      <c r="B49" s="39">
        <v>152362</v>
      </c>
      <c r="C49" s="39">
        <v>476464</v>
      </c>
    </row>
    <row r="50" spans="1:3" x14ac:dyDescent="0.3">
      <c r="A50" s="31" t="s">
        <v>65</v>
      </c>
      <c r="B50" s="32" t="s">
        <v>60</v>
      </c>
      <c r="C50" s="34">
        <v>7.58</v>
      </c>
    </row>
    <row r="51" spans="1:3" x14ac:dyDescent="0.3">
      <c r="A51" s="31" t="s">
        <v>66</v>
      </c>
      <c r="B51" s="32" t="s">
        <v>60</v>
      </c>
      <c r="C51" s="34">
        <v>6821.34</v>
      </c>
    </row>
    <row r="52" spans="1:3" x14ac:dyDescent="0.3">
      <c r="A52" s="31" t="s">
        <v>67</v>
      </c>
      <c r="B52" s="32" t="s">
        <v>68</v>
      </c>
      <c r="C52" s="32" t="s">
        <v>69</v>
      </c>
    </row>
    <row r="53" spans="1:3" x14ac:dyDescent="0.3">
      <c r="A53" s="31" t="s">
        <v>70</v>
      </c>
      <c r="B53" s="32" t="s">
        <v>71</v>
      </c>
      <c r="C53" s="32" t="s">
        <v>71</v>
      </c>
    </row>
    <row r="54" spans="1:3" x14ac:dyDescent="0.3">
      <c r="A54" s="31" t="s">
        <v>72</v>
      </c>
      <c r="B54" s="32"/>
      <c r="C54" s="34"/>
    </row>
    <row r="55" spans="1:3" x14ac:dyDescent="0.3">
      <c r="A55" s="31" t="s">
        <v>73</v>
      </c>
      <c r="B55" s="32"/>
      <c r="C55" s="34"/>
    </row>
    <row r="56" spans="1:3" x14ac:dyDescent="0.3">
      <c r="A56" s="31" t="s">
        <v>74</v>
      </c>
      <c r="B56" s="32"/>
      <c r="C56" s="34"/>
    </row>
    <row r="57" spans="1:3" x14ac:dyDescent="0.3">
      <c r="A57" s="31" t="s">
        <v>75</v>
      </c>
      <c r="B57" s="32"/>
      <c r="C57" s="43"/>
    </row>
    <row r="58" spans="1:3" x14ac:dyDescent="0.3">
      <c r="A58" s="31" t="s">
        <v>76</v>
      </c>
      <c r="B58" s="32"/>
      <c r="C58" s="34"/>
    </row>
    <row r="62" spans="1:3" x14ac:dyDescent="0.3">
      <c r="A62" s="133" t="s">
        <v>77</v>
      </c>
      <c r="B62" s="133"/>
      <c r="C62" s="133"/>
    </row>
    <row r="63" spans="1:3" x14ac:dyDescent="0.3">
      <c r="A63" s="133" t="s">
        <v>78</v>
      </c>
      <c r="B63" s="133"/>
      <c r="C63" s="133"/>
    </row>
    <row r="64" spans="1:3" x14ac:dyDescent="0.3">
      <c r="A64" s="134" t="s">
        <v>79</v>
      </c>
      <c r="B64" s="133"/>
      <c r="C64" s="133"/>
    </row>
    <row r="65" spans="1:3" x14ac:dyDescent="0.3">
      <c r="A65" s="134" t="s">
        <v>80</v>
      </c>
      <c r="B65" s="133"/>
      <c r="C65" s="133"/>
    </row>
    <row r="66" spans="1:3" x14ac:dyDescent="0.3">
      <c r="A66" s="133" t="s">
        <v>81</v>
      </c>
      <c r="B66" s="133"/>
      <c r="C66" s="133"/>
    </row>
    <row r="67" spans="1:3" x14ac:dyDescent="0.3">
      <c r="A67" s="134" t="s">
        <v>82</v>
      </c>
      <c r="B67" s="133"/>
      <c r="C67" s="133"/>
    </row>
    <row r="68" spans="1:3" x14ac:dyDescent="0.3">
      <c r="A68" s="134" t="s">
        <v>83</v>
      </c>
      <c r="B68" s="133"/>
      <c r="C68" s="133"/>
    </row>
    <row r="69" spans="1:3" x14ac:dyDescent="0.3">
      <c r="A69" s="134" t="s">
        <v>84</v>
      </c>
      <c r="B69" s="133"/>
      <c r="C69" s="133"/>
    </row>
    <row r="70" spans="1:3" x14ac:dyDescent="0.3">
      <c r="A70" s="134" t="s">
        <v>85</v>
      </c>
      <c r="B70" s="133"/>
      <c r="C70" s="133"/>
    </row>
    <row r="71" spans="1:3" x14ac:dyDescent="0.3">
      <c r="A71" s="134" t="s">
        <v>86</v>
      </c>
      <c r="B71" s="133"/>
      <c r="C71" s="133"/>
    </row>
    <row r="72" spans="1:3" x14ac:dyDescent="0.3">
      <c r="A72" s="134" t="s">
        <v>87</v>
      </c>
      <c r="B72" s="133"/>
      <c r="C72" s="133"/>
    </row>
    <row r="73" spans="1:3" x14ac:dyDescent="0.3">
      <c r="A73" s="134" t="s">
        <v>88</v>
      </c>
      <c r="B73" s="133"/>
      <c r="C73" s="133"/>
    </row>
    <row r="74" spans="1:3" x14ac:dyDescent="0.3">
      <c r="A74" s="133" t="s">
        <v>89</v>
      </c>
      <c r="B74" s="133"/>
      <c r="C74" s="133"/>
    </row>
    <row r="75" spans="1:3" x14ac:dyDescent="0.3">
      <c r="A75" s="134" t="s">
        <v>90</v>
      </c>
      <c r="B75" s="133"/>
      <c r="C75" s="133"/>
    </row>
    <row r="76" spans="1:3" x14ac:dyDescent="0.3">
      <c r="A76" s="134" t="s">
        <v>91</v>
      </c>
      <c r="B76" s="133"/>
      <c r="C76" s="133"/>
    </row>
    <row r="77" spans="1:3" x14ac:dyDescent="0.3">
      <c r="A77" s="134" t="s">
        <v>92</v>
      </c>
      <c r="B77" s="133"/>
      <c r="C77" s="133"/>
    </row>
    <row r="78" spans="1:3" x14ac:dyDescent="0.3">
      <c r="A78" s="134" t="s">
        <v>93</v>
      </c>
      <c r="B78" s="133"/>
      <c r="C78" s="133"/>
    </row>
    <row r="79" spans="1:3" x14ac:dyDescent="0.3">
      <c r="A79" s="134" t="s">
        <v>94</v>
      </c>
      <c r="B79" s="133"/>
      <c r="C79" s="133"/>
    </row>
    <row r="80" spans="1:3" x14ac:dyDescent="0.3">
      <c r="A80" s="134" t="s">
        <v>95</v>
      </c>
      <c r="B80" s="133"/>
      <c r="C80" s="133"/>
    </row>
    <row r="81" spans="1:3" x14ac:dyDescent="0.3">
      <c r="A81" s="133" t="s">
        <v>96</v>
      </c>
      <c r="B81" s="133"/>
      <c r="C81" s="133"/>
    </row>
    <row r="82" spans="1:3" x14ac:dyDescent="0.3">
      <c r="A82" s="134" t="s">
        <v>97</v>
      </c>
      <c r="B82" s="133"/>
      <c r="C82" s="133"/>
    </row>
    <row r="83" spans="1:3" x14ac:dyDescent="0.3">
      <c r="A83" s="134" t="s">
        <v>98</v>
      </c>
      <c r="B83" s="133"/>
      <c r="C83" s="133"/>
    </row>
    <row r="84" spans="1:3" x14ac:dyDescent="0.3">
      <c r="A84" s="133" t="s">
        <v>99</v>
      </c>
      <c r="B84" s="133"/>
      <c r="C84" s="133"/>
    </row>
    <row r="85" spans="1:3" x14ac:dyDescent="0.3">
      <c r="A85" s="133"/>
      <c r="B85" s="134" t="s">
        <v>100</v>
      </c>
      <c r="C85" s="133"/>
    </row>
    <row r="86" spans="1:3" x14ac:dyDescent="0.3">
      <c r="A86" s="133"/>
      <c r="B86" s="134" t="s">
        <v>101</v>
      </c>
      <c r="C86" s="133"/>
    </row>
    <row r="87" spans="1:3" x14ac:dyDescent="0.3">
      <c r="A87" s="133" t="s">
        <v>102</v>
      </c>
      <c r="B87" s="133"/>
      <c r="C87" s="133"/>
    </row>
    <row r="88" spans="1:3" x14ac:dyDescent="0.3">
      <c r="A88" s="134" t="s">
        <v>103</v>
      </c>
      <c r="B88" s="133"/>
      <c r="C88" s="133"/>
    </row>
    <row r="89" spans="1:3" x14ac:dyDescent="0.3">
      <c r="A89" s="133" t="s">
        <v>104</v>
      </c>
      <c r="B89" s="133"/>
      <c r="C89" s="133"/>
    </row>
    <row r="90" spans="1:3" x14ac:dyDescent="0.3">
      <c r="A90" s="133" t="s">
        <v>105</v>
      </c>
      <c r="B90" s="133"/>
      <c r="C90" s="133"/>
    </row>
    <row r="91" spans="1:3" x14ac:dyDescent="0.3">
      <c r="A91" s="133"/>
      <c r="B91" s="133" t="s">
        <v>3</v>
      </c>
      <c r="C91" s="133"/>
    </row>
    <row r="92" spans="1:3" x14ac:dyDescent="0.3">
      <c r="A92" s="133"/>
      <c r="B92" s="133" t="s">
        <v>106</v>
      </c>
      <c r="C92" s="133"/>
    </row>
    <row r="93" spans="1:3" x14ac:dyDescent="0.3">
      <c r="A93" s="133"/>
      <c r="B93" s="133" t="s">
        <v>107</v>
      </c>
      <c r="C93" s="133"/>
    </row>
    <row r="94" spans="1:3" x14ac:dyDescent="0.3">
      <c r="A94" s="133"/>
      <c r="B94" s="133" t="s">
        <v>108</v>
      </c>
      <c r="C94" s="133"/>
    </row>
    <row r="95" spans="1:3" x14ac:dyDescent="0.3">
      <c r="A95" s="133"/>
      <c r="B95" s="134" t="s">
        <v>109</v>
      </c>
      <c r="C95" s="133"/>
    </row>
    <row r="96" spans="1:3" x14ac:dyDescent="0.3">
      <c r="A96" s="133" t="s">
        <v>110</v>
      </c>
      <c r="B96" s="133"/>
      <c r="C96" s="133"/>
    </row>
    <row r="97" spans="1:3" x14ac:dyDescent="0.3">
      <c r="A97" s="133"/>
      <c r="B97" s="133" t="s">
        <v>111</v>
      </c>
      <c r="C97" s="133"/>
    </row>
    <row r="98" spans="1:3" x14ac:dyDescent="0.3">
      <c r="A98" s="133"/>
      <c r="B98" s="133" t="s">
        <v>112</v>
      </c>
      <c r="C98" s="133"/>
    </row>
    <row r="99" spans="1:3" x14ac:dyDescent="0.3">
      <c r="A99" s="133" t="s">
        <v>113</v>
      </c>
      <c r="B99" s="133"/>
      <c r="C99" s="133"/>
    </row>
    <row r="100" spans="1:3" x14ac:dyDescent="0.3">
      <c r="A100" s="133">
        <v>1</v>
      </c>
      <c r="B100" s="133" t="s">
        <v>114</v>
      </c>
      <c r="C100" s="133"/>
    </row>
    <row r="101" spans="1:3" x14ac:dyDescent="0.3">
      <c r="A101" s="133">
        <v>2</v>
      </c>
      <c r="B101" s="133" t="s">
        <v>115</v>
      </c>
      <c r="C101" s="133"/>
    </row>
    <row r="102" spans="1:3" x14ac:dyDescent="0.3">
      <c r="A102" s="133"/>
      <c r="B102" s="133"/>
      <c r="C102" s="133" t="s">
        <v>116</v>
      </c>
    </row>
    <row r="103" spans="1:3" x14ac:dyDescent="0.3">
      <c r="A103" s="133"/>
      <c r="B103" s="133"/>
      <c r="C103" s="133" t="s">
        <v>117</v>
      </c>
    </row>
    <row r="104" spans="1:3" x14ac:dyDescent="0.3">
      <c r="A104" s="133">
        <v>3</v>
      </c>
      <c r="B104" s="133" t="s">
        <v>118</v>
      </c>
      <c r="C104" s="133"/>
    </row>
    <row r="105" spans="1:3" x14ac:dyDescent="0.3">
      <c r="A105" s="133">
        <v>4</v>
      </c>
      <c r="B105" s="133" t="s">
        <v>119</v>
      </c>
      <c r="C105" s="133"/>
    </row>
    <row r="106" spans="1:3" x14ac:dyDescent="0.3">
      <c r="A106" s="133"/>
      <c r="B106" s="133"/>
      <c r="C106" s="134" t="s">
        <v>120</v>
      </c>
    </row>
    <row r="107" spans="1:3" x14ac:dyDescent="0.3">
      <c r="A107" s="133"/>
      <c r="B107" s="133"/>
      <c r="C107" s="134" t="s">
        <v>121</v>
      </c>
    </row>
    <row r="108" spans="1:3" x14ac:dyDescent="0.3">
      <c r="A108" s="133" t="s">
        <v>122</v>
      </c>
      <c r="B108" s="133"/>
      <c r="C108" s="133"/>
    </row>
    <row r="109" spans="1:3" x14ac:dyDescent="0.3">
      <c r="A109" s="133" t="s">
        <v>123</v>
      </c>
      <c r="B109" s="133"/>
      <c r="C109" s="133"/>
    </row>
    <row r="110" spans="1:3" x14ac:dyDescent="0.3">
      <c r="A110" s="133" t="s">
        <v>124</v>
      </c>
      <c r="B110" s="133"/>
      <c r="C110" s="133"/>
    </row>
    <row r="111" spans="1:3" x14ac:dyDescent="0.3">
      <c r="A111" s="134" t="s">
        <v>125</v>
      </c>
      <c r="B111" s="133"/>
      <c r="C111" s="133"/>
    </row>
    <row r="112" spans="1:3" x14ac:dyDescent="0.3">
      <c r="A112" s="134" t="s">
        <v>126</v>
      </c>
      <c r="B112" s="133"/>
      <c r="C112" s="133"/>
    </row>
    <row r="113" spans="1:3" x14ac:dyDescent="0.3">
      <c r="A113" s="133" t="s">
        <v>127</v>
      </c>
      <c r="B113" s="133"/>
      <c r="C113" s="133"/>
    </row>
    <row r="114" spans="1:3" x14ac:dyDescent="0.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tabSelected="1" workbookViewId="0">
      <pane ySplit="1" topLeftCell="A36" activePane="bottomLeft" state="frozen"/>
      <selection pane="bottomLeft" activeCell="I45" sqref="I45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41" customWidth="1"/>
    <col min="7" max="7" width="22" style="15" bestFit="1" customWidth="1"/>
    <col min="8" max="8" width="11.6640625" style="15" bestFit="1" customWidth="1"/>
    <col min="9" max="9" width="11.44140625" style="142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" x14ac:dyDescent="0.3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" x14ac:dyDescent="0.3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" x14ac:dyDescent="0.3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" x14ac:dyDescent="0.3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" x14ac:dyDescent="0.3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" x14ac:dyDescent="0.3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" x14ac:dyDescent="0.3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" x14ac:dyDescent="0.3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" x14ac:dyDescent="0.3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" x14ac:dyDescent="0.3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t="14.4" x14ac:dyDescent="0.3">
      <c r="A12" s="12" t="s">
        <v>148</v>
      </c>
      <c r="B12" s="10" t="s">
        <v>209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215</v>
      </c>
      <c r="H12" s="100">
        <v>45966</v>
      </c>
      <c r="I12" s="101">
        <v>45967</v>
      </c>
      <c r="J12" s="10" t="s">
        <v>151</v>
      </c>
      <c r="K12" s="10" t="s">
        <v>216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217</v>
      </c>
      <c r="Q12" s="10" t="s">
        <v>218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 ht="14.4" x14ac:dyDescent="0.3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219</v>
      </c>
      <c r="H13" s="100">
        <v>45966</v>
      </c>
      <c r="I13" s="101">
        <v>45967</v>
      </c>
      <c r="J13" s="10" t="s">
        <v>151</v>
      </c>
      <c r="K13" s="10" t="s">
        <v>220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221</v>
      </c>
      <c r="Q13" s="10" t="s">
        <v>222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t="14.4" x14ac:dyDescent="0.3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223</v>
      </c>
      <c r="H14" s="100">
        <v>45966</v>
      </c>
      <c r="I14" s="101">
        <v>45966</v>
      </c>
      <c r="J14" s="10" t="s">
        <v>224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225</v>
      </c>
      <c r="Q14" s="10" t="s">
        <v>226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t="14.4" x14ac:dyDescent="0.3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227</v>
      </c>
      <c r="H15" s="100">
        <v>45966</v>
      </c>
      <c r="I15" s="101">
        <v>45966</v>
      </c>
      <c r="J15" s="10" t="s">
        <v>228</v>
      </c>
      <c r="K15" s="10" t="s">
        <v>229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230</v>
      </c>
      <c r="Q15" s="10" t="s">
        <v>231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" x14ac:dyDescent="0.3">
      <c r="A16" s="12" t="s">
        <v>148</v>
      </c>
      <c r="B16" s="10" t="s">
        <v>189</v>
      </c>
      <c r="C16" s="97">
        <f>IFERROR((D16*1.5)/1440, "?")</f>
        <v>0.25520833333333331</v>
      </c>
      <c r="D16" s="10">
        <v>245</v>
      </c>
      <c r="E16" s="98">
        <f>IFERROR((D16*6),"?")</f>
        <v>1470</v>
      </c>
      <c r="F16" s="99"/>
      <c r="G16" s="10" t="s">
        <v>232</v>
      </c>
      <c r="H16" s="100">
        <v>45967</v>
      </c>
      <c r="I16" s="101">
        <v>45967</v>
      </c>
      <c r="J16" s="10" t="s">
        <v>233</v>
      </c>
      <c r="K16" s="10" t="s">
        <v>234</v>
      </c>
      <c r="L16" s="10" t="s">
        <v>153</v>
      </c>
      <c r="M16" s="10" t="s">
        <v>154</v>
      </c>
      <c r="N16" s="12" t="s">
        <v>155</v>
      </c>
      <c r="O16" s="10" t="s">
        <v>156</v>
      </c>
      <c r="P16" s="13" t="s">
        <v>235</v>
      </c>
      <c r="Q16" s="10" t="s">
        <v>236</v>
      </c>
      <c r="R16" s="10" t="s">
        <v>153</v>
      </c>
      <c r="S16" s="10" t="s">
        <v>159</v>
      </c>
      <c r="T16" s="2" t="str">
        <f t="shared" si="0"/>
        <v>6135M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7" spans="1:21" ht="14.4" x14ac:dyDescent="0.3">
      <c r="A17" s="12" t="s">
        <v>148</v>
      </c>
      <c r="B17" s="10" t="s">
        <v>209</v>
      </c>
      <c r="C17" s="97">
        <f>IFERROR((D17*1.5)/1440, "?")</f>
        <v>0.18229166666666666</v>
      </c>
      <c r="D17" s="10">
        <v>175</v>
      </c>
      <c r="E17" s="98">
        <f>IFERROR((D17*6),"?")</f>
        <v>1050</v>
      </c>
      <c r="F17" s="99"/>
      <c r="G17" s="10" t="s">
        <v>237</v>
      </c>
      <c r="H17" s="100">
        <v>45968</v>
      </c>
      <c r="I17" s="101">
        <v>45969</v>
      </c>
      <c r="J17" s="10" t="s">
        <v>238</v>
      </c>
      <c r="K17" s="10" t="s">
        <v>216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239</v>
      </c>
      <c r="Q17" s="10" t="s">
        <v>240</v>
      </c>
      <c r="R17" s="10" t="s">
        <v>193</v>
      </c>
      <c r="S17" s="10" t="s">
        <v>182</v>
      </c>
      <c r="T17" s="2" t="str">
        <f t="shared" si="0"/>
        <v>S680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18" spans="1:21" ht="14.4" x14ac:dyDescent="0.3">
      <c r="A18" s="12" t="s">
        <v>148</v>
      </c>
      <c r="B18" s="10" t="s">
        <v>209</v>
      </c>
      <c r="C18" s="97">
        <f>IFERROR((D18*1.5)/1440, "?")</f>
        <v>0.18229166666666666</v>
      </c>
      <c r="D18" s="10">
        <v>175</v>
      </c>
      <c r="E18" s="98">
        <f>IFERROR((D18*6),"?")</f>
        <v>1050</v>
      </c>
      <c r="F18" s="99"/>
      <c r="G18" s="10" t="s">
        <v>241</v>
      </c>
      <c r="H18" s="100">
        <v>45968</v>
      </c>
      <c r="I18" s="101">
        <v>45968</v>
      </c>
      <c r="J18" s="10" t="s">
        <v>151</v>
      </c>
      <c r="K18" s="10" t="s">
        <v>242</v>
      </c>
      <c r="L18" s="10" t="s">
        <v>193</v>
      </c>
      <c r="M18" s="10" t="s">
        <v>154</v>
      </c>
      <c r="N18" s="12" t="s">
        <v>155</v>
      </c>
      <c r="O18" s="10" t="s">
        <v>156</v>
      </c>
      <c r="P18" s="13" t="s">
        <v>243</v>
      </c>
      <c r="Q18" s="10" t="s">
        <v>244</v>
      </c>
      <c r="R18" s="10" t="s">
        <v>193</v>
      </c>
      <c r="S18" s="10" t="s">
        <v>159</v>
      </c>
      <c r="T18" s="2" t="str">
        <f t="shared" si="0"/>
        <v>6180J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19" spans="1:21" ht="14.4" x14ac:dyDescent="0.3">
      <c r="A19" s="12" t="s">
        <v>148</v>
      </c>
      <c r="B19" s="10" t="s">
        <v>168</v>
      </c>
      <c r="C19" s="97">
        <f>IFERROR((D19*1.5)/1440, "?")</f>
        <v>0.34375</v>
      </c>
      <c r="D19" s="10">
        <v>330</v>
      </c>
      <c r="E19" s="98"/>
      <c r="F19" s="99">
        <v>2890</v>
      </c>
      <c r="G19" s="10" t="s">
        <v>245</v>
      </c>
      <c r="H19" s="100">
        <v>45968</v>
      </c>
      <c r="I19" s="101">
        <v>45968</v>
      </c>
      <c r="J19" s="10" t="s">
        <v>246</v>
      </c>
      <c r="K19" s="10" t="s">
        <v>171</v>
      </c>
      <c r="L19" s="10" t="s">
        <v>172</v>
      </c>
      <c r="M19" s="10" t="s">
        <v>154</v>
      </c>
      <c r="N19" s="12" t="s">
        <v>155</v>
      </c>
      <c r="O19" s="10" t="s">
        <v>156</v>
      </c>
      <c r="P19" s="12" t="s">
        <v>247</v>
      </c>
      <c r="Q19" s="10" t="s">
        <v>248</v>
      </c>
      <c r="R19" s="10" t="s">
        <v>172</v>
      </c>
      <c r="S19" s="10" t="s">
        <v>159</v>
      </c>
      <c r="T19" s="2" t="str">
        <f t="shared" si="0"/>
        <v>6100J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0" spans="1:21" ht="14.4" x14ac:dyDescent="0.3">
      <c r="A20" s="12" t="s">
        <v>148</v>
      </c>
      <c r="B20" s="10" t="s">
        <v>209</v>
      </c>
      <c r="C20" s="97">
        <f>IFERROR((D20*1.5)/1440, "?")</f>
        <v>0.33854166666666669</v>
      </c>
      <c r="D20" s="10">
        <v>325</v>
      </c>
      <c r="E20" s="98">
        <f>IFERROR((D20*6),"?")</f>
        <v>1950</v>
      </c>
      <c r="F20" s="99"/>
      <c r="G20" s="10" t="s">
        <v>255</v>
      </c>
      <c r="H20" s="100">
        <v>45972</v>
      </c>
      <c r="I20" s="101">
        <v>45972</v>
      </c>
      <c r="J20" s="10" t="s">
        <v>256</v>
      </c>
      <c r="K20" s="10" t="s">
        <v>186</v>
      </c>
      <c r="L20" s="10" t="s">
        <v>153</v>
      </c>
      <c r="M20" s="10" t="s">
        <v>257</v>
      </c>
      <c r="N20" s="12" t="s">
        <v>258</v>
      </c>
      <c r="O20" s="10" t="s">
        <v>156</v>
      </c>
      <c r="P20" s="12" t="s">
        <v>156</v>
      </c>
      <c r="Q20" s="10" t="s">
        <v>253</v>
      </c>
      <c r="R20" s="10" t="s">
        <v>153</v>
      </c>
      <c r="S20" s="10" t="s">
        <v>182</v>
      </c>
      <c r="T20" s="2" t="str">
        <f t="shared" si="0"/>
        <v>P111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1" spans="1:21" ht="14.4" x14ac:dyDescent="0.3">
      <c r="A21" s="12" t="s">
        <v>148</v>
      </c>
      <c r="B21" s="10" t="s">
        <v>209</v>
      </c>
      <c r="C21" s="97">
        <f>IFERROR((D21*1.5)/1440, "?")</f>
        <v>0.265625</v>
      </c>
      <c r="D21" s="10">
        <v>255</v>
      </c>
      <c r="E21" s="98">
        <f>IFERROR((D21*6),"?")</f>
        <v>1530</v>
      </c>
      <c r="F21" s="99"/>
      <c r="G21" s="10" t="s">
        <v>259</v>
      </c>
      <c r="H21" s="100">
        <v>45972</v>
      </c>
      <c r="I21" s="101">
        <v>45972</v>
      </c>
      <c r="J21" s="10" t="s">
        <v>260</v>
      </c>
      <c r="K21" s="10" t="s">
        <v>186</v>
      </c>
      <c r="L21" s="10" t="s">
        <v>153</v>
      </c>
      <c r="M21" s="10" t="s">
        <v>257</v>
      </c>
      <c r="N21" s="12" t="s">
        <v>258</v>
      </c>
      <c r="O21" s="10" t="s">
        <v>156</v>
      </c>
      <c r="P21" s="12" t="s">
        <v>156</v>
      </c>
      <c r="Q21" s="10" t="s">
        <v>253</v>
      </c>
      <c r="R21" s="10" t="s">
        <v>153</v>
      </c>
      <c r="S21" s="10" t="s">
        <v>159</v>
      </c>
      <c r="T21" s="2" t="str">
        <f t="shared" si="0"/>
        <v>5078E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2" spans="1:21" ht="14.4" x14ac:dyDescent="0.3">
      <c r="A22" s="12" t="s">
        <v>148</v>
      </c>
      <c r="B22" s="10" t="s">
        <v>209</v>
      </c>
      <c r="C22" s="97">
        <f>IFERROR((D22*1.5)/1440, "?")</f>
        <v>0.265625</v>
      </c>
      <c r="D22" s="10">
        <v>255</v>
      </c>
      <c r="E22" s="98">
        <f>IFERROR((D22*6),"?")</f>
        <v>1530</v>
      </c>
      <c r="F22" s="99"/>
      <c r="G22" s="10" t="s">
        <v>261</v>
      </c>
      <c r="H22" s="100">
        <v>45972</v>
      </c>
      <c r="I22" s="101">
        <v>45972</v>
      </c>
      <c r="J22" s="10" t="s">
        <v>260</v>
      </c>
      <c r="K22" s="10" t="s">
        <v>186</v>
      </c>
      <c r="L22" s="10" t="s">
        <v>153</v>
      </c>
      <c r="M22" s="10" t="s">
        <v>257</v>
      </c>
      <c r="N22" s="12" t="s">
        <v>258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159</v>
      </c>
      <c r="T22" s="2" t="str">
        <f t="shared" si="0"/>
        <v>6150J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3" spans="1:21" ht="14.4" x14ac:dyDescent="0.3">
      <c r="A23" s="12" t="s">
        <v>148</v>
      </c>
      <c r="B23" s="10" t="s">
        <v>209</v>
      </c>
      <c r="C23" s="97">
        <f>IFERROR((D23*1.5)/1440, "?")</f>
        <v>0.33854166666666669</v>
      </c>
      <c r="D23" s="10">
        <v>325</v>
      </c>
      <c r="E23" s="98">
        <f>IFERROR((D23*6),"?")</f>
        <v>1950</v>
      </c>
      <c r="F23" s="99"/>
      <c r="G23" s="10" t="s">
        <v>262</v>
      </c>
      <c r="H23" s="100">
        <v>45972</v>
      </c>
      <c r="I23" s="101">
        <v>45972</v>
      </c>
      <c r="J23" s="10" t="s">
        <v>263</v>
      </c>
      <c r="K23" s="10" t="s">
        <v>186</v>
      </c>
      <c r="L23" s="10" t="s">
        <v>153</v>
      </c>
      <c r="M23" s="10" t="s">
        <v>257</v>
      </c>
      <c r="N23" s="12" t="s">
        <v>258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0"/>
        <v>C100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4" spans="1:21" ht="14.4" x14ac:dyDescent="0.3">
      <c r="A24" s="12" t="s">
        <v>148</v>
      </c>
      <c r="B24" s="10" t="s">
        <v>168</v>
      </c>
      <c r="C24" s="97">
        <f>IFERROR((D24*1.5)/1440, "?")</f>
        <v>8.1250000000000003E-2</v>
      </c>
      <c r="D24" s="10">
        <v>78</v>
      </c>
      <c r="E24" s="98"/>
      <c r="F24" s="99">
        <v>1389</v>
      </c>
      <c r="G24" s="10" t="s">
        <v>264</v>
      </c>
      <c r="H24" s="100">
        <v>45972</v>
      </c>
      <c r="I24" s="101">
        <v>45972</v>
      </c>
      <c r="J24" s="10" t="s">
        <v>265</v>
      </c>
      <c r="K24" s="10" t="s">
        <v>171</v>
      </c>
      <c r="L24" s="10" t="s">
        <v>257</v>
      </c>
      <c r="M24" s="10" t="s">
        <v>154</v>
      </c>
      <c r="N24" s="12" t="s">
        <v>155</v>
      </c>
      <c r="O24" s="10" t="s">
        <v>156</v>
      </c>
      <c r="P24" s="13" t="s">
        <v>266</v>
      </c>
      <c r="Q24" s="10" t="s">
        <v>267</v>
      </c>
      <c r="R24" s="10" t="s">
        <v>172</v>
      </c>
      <c r="S24" s="10" t="s">
        <v>159</v>
      </c>
      <c r="T24" s="2" t="str">
        <f t="shared" si="0"/>
        <v>6100J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5" spans="1:21" ht="14.4" x14ac:dyDescent="0.3">
      <c r="A25" s="12" t="s">
        <v>148</v>
      </c>
      <c r="B25" s="10" t="s">
        <v>189</v>
      </c>
      <c r="C25" s="97">
        <f>IFERROR((D25*1.5)/1440, "?")</f>
        <v>5.9374999999999997E-2</v>
      </c>
      <c r="D25" s="10">
        <v>57</v>
      </c>
      <c r="E25" s="98">
        <f>IFERROR((D25*6),"?")</f>
        <v>342</v>
      </c>
      <c r="F25" s="99"/>
      <c r="G25" s="10" t="s">
        <v>268</v>
      </c>
      <c r="H25" s="100">
        <v>45973</v>
      </c>
      <c r="I25" s="101">
        <v>45973</v>
      </c>
      <c r="J25" s="10" t="s">
        <v>164</v>
      </c>
      <c r="K25" s="10" t="s">
        <v>216</v>
      </c>
      <c r="L25" s="10" t="s">
        <v>154</v>
      </c>
      <c r="M25" s="10" t="s">
        <v>193</v>
      </c>
      <c r="N25" s="12" t="s">
        <v>165</v>
      </c>
      <c r="O25" s="10" t="s">
        <v>269</v>
      </c>
      <c r="P25" s="12" t="s">
        <v>156</v>
      </c>
      <c r="Q25" s="10" t="s">
        <v>270</v>
      </c>
      <c r="R25" s="10" t="s">
        <v>193</v>
      </c>
      <c r="S25" s="10" t="s">
        <v>159</v>
      </c>
      <c r="T25" s="2" t="str">
        <f t="shared" si="0"/>
        <v>7230J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26" spans="1:21" ht="14.4" x14ac:dyDescent="0.3">
      <c r="A26" s="12" t="s">
        <v>148</v>
      </c>
      <c r="B26" s="10" t="s">
        <v>209</v>
      </c>
      <c r="C26" s="97">
        <f>IFERROR((D26*1.5)/1440, "?")</f>
        <v>0.10416666666666667</v>
      </c>
      <c r="D26" s="10">
        <v>100</v>
      </c>
      <c r="E26" s="98">
        <f>IFERROR((D26*6),"?")</f>
        <v>600</v>
      </c>
      <c r="F26" s="99"/>
      <c r="G26" s="10" t="s">
        <v>271</v>
      </c>
      <c r="H26" s="100">
        <v>45974</v>
      </c>
      <c r="I26" s="101">
        <v>45974</v>
      </c>
      <c r="J26" s="10" t="s">
        <v>164</v>
      </c>
      <c r="K26" s="10" t="s">
        <v>216</v>
      </c>
      <c r="L26" s="10" t="s">
        <v>193</v>
      </c>
      <c r="M26" s="10" t="s">
        <v>154</v>
      </c>
      <c r="N26" s="12" t="s">
        <v>155</v>
      </c>
      <c r="O26" s="10" t="s">
        <v>156</v>
      </c>
      <c r="P26" s="12" t="s">
        <v>272</v>
      </c>
      <c r="Q26" s="10" t="s">
        <v>273</v>
      </c>
      <c r="R26" s="10" t="s">
        <v>193</v>
      </c>
      <c r="S26" s="10" t="s">
        <v>159</v>
      </c>
      <c r="T26" s="2" t="str">
        <f t="shared" si="0"/>
        <v>7225J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27" spans="1:21" ht="14.4" x14ac:dyDescent="0.3">
      <c r="A27" s="12" t="s">
        <v>148</v>
      </c>
      <c r="B27" s="10" t="s">
        <v>189</v>
      </c>
      <c r="C27" s="97">
        <f>IFERROR((D27*1.5)/1440, "?")</f>
        <v>0.109375</v>
      </c>
      <c r="D27" s="10">
        <v>105</v>
      </c>
      <c r="E27" s="98">
        <f>IFERROR((D27*6),"?")</f>
        <v>630</v>
      </c>
      <c r="F27" s="99"/>
      <c r="G27" s="10" t="s">
        <v>274</v>
      </c>
      <c r="H27" s="100">
        <v>45974</v>
      </c>
      <c r="I27" s="101">
        <v>45974</v>
      </c>
      <c r="J27" s="10" t="s">
        <v>275</v>
      </c>
      <c r="K27" s="10" t="s">
        <v>152</v>
      </c>
      <c r="L27" s="10" t="s">
        <v>154</v>
      </c>
      <c r="M27" s="10" t="s">
        <v>153</v>
      </c>
      <c r="N27" s="12" t="s">
        <v>165</v>
      </c>
      <c r="O27" s="136" t="s">
        <v>276</v>
      </c>
      <c r="P27" s="12" t="s">
        <v>156</v>
      </c>
      <c r="Q27" s="10" t="s">
        <v>277</v>
      </c>
      <c r="R27" s="10" t="s">
        <v>153</v>
      </c>
      <c r="S27" s="10" t="s">
        <v>159</v>
      </c>
      <c r="T27" s="2" t="str">
        <f t="shared" si="0"/>
        <v>5060E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28" spans="1:21" ht="14.4" x14ac:dyDescent="0.3">
      <c r="A28" s="12" t="s">
        <v>148</v>
      </c>
      <c r="B28" s="10" t="s">
        <v>189</v>
      </c>
      <c r="C28" s="97">
        <f>IFERROR((D28*1.5)/1440, "?")</f>
        <v>7.4999999999999997E-2</v>
      </c>
      <c r="D28" s="10">
        <v>72</v>
      </c>
      <c r="E28" s="98">
        <f>IFERROR((D28*6),"?")</f>
        <v>432</v>
      </c>
      <c r="F28" s="99"/>
      <c r="G28" s="10" t="s">
        <v>278</v>
      </c>
      <c r="H28" s="100">
        <v>45974</v>
      </c>
      <c r="I28" s="101">
        <v>45974</v>
      </c>
      <c r="J28" s="10" t="s">
        <v>279</v>
      </c>
      <c r="K28" s="10" t="s">
        <v>152</v>
      </c>
      <c r="L28" s="10" t="s">
        <v>154</v>
      </c>
      <c r="M28" s="10" t="s">
        <v>153</v>
      </c>
      <c r="N28" s="12" t="s">
        <v>165</v>
      </c>
      <c r="O28" s="11" t="s">
        <v>280</v>
      </c>
      <c r="P28" s="12" t="s">
        <v>156</v>
      </c>
      <c r="Q28" s="10" t="s">
        <v>277</v>
      </c>
      <c r="R28" s="10" t="s">
        <v>153</v>
      </c>
      <c r="S28" s="10" t="s">
        <v>159</v>
      </c>
      <c r="T28" s="2" t="str">
        <f t="shared" si="0"/>
        <v>5080E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29" spans="1:21" ht="14.4" x14ac:dyDescent="0.3">
      <c r="A29" s="12" t="s">
        <v>148</v>
      </c>
      <c r="B29" s="10" t="s">
        <v>189</v>
      </c>
      <c r="C29" s="97">
        <f>IFERROR((D29*1.5)/1440, "?")</f>
        <v>0.11979166666666667</v>
      </c>
      <c r="D29" s="10">
        <v>115</v>
      </c>
      <c r="E29" s="98">
        <f>IFERROR((D29*6),"?")</f>
        <v>690</v>
      </c>
      <c r="F29" s="99"/>
      <c r="G29" s="10" t="s">
        <v>163</v>
      </c>
      <c r="H29" s="100">
        <v>45974</v>
      </c>
      <c r="I29" s="101">
        <v>45974</v>
      </c>
      <c r="J29" s="10" t="s">
        <v>281</v>
      </c>
      <c r="K29" s="10" t="s">
        <v>152</v>
      </c>
      <c r="L29" s="10" t="s">
        <v>153</v>
      </c>
      <c r="M29" s="10" t="s">
        <v>154</v>
      </c>
      <c r="N29" s="12" t="s">
        <v>155</v>
      </c>
      <c r="O29" s="10" t="s">
        <v>156</v>
      </c>
      <c r="P29" s="13" t="s">
        <v>282</v>
      </c>
      <c r="Q29" s="10" t="s">
        <v>283</v>
      </c>
      <c r="R29" s="10" t="s">
        <v>153</v>
      </c>
      <c r="S29" s="10" t="s">
        <v>159</v>
      </c>
      <c r="T29" s="2" t="str">
        <f t="shared" si="0"/>
        <v>5080E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0" spans="1:21" ht="14.4" x14ac:dyDescent="0.3">
      <c r="A30" s="12" t="s">
        <v>148</v>
      </c>
      <c r="B30" s="10" t="s">
        <v>284</v>
      </c>
      <c r="C30" s="97">
        <f>IFERROR((D30*1.5)/1440, "?")</f>
        <v>0.10312499999999999</v>
      </c>
      <c r="D30" s="10">
        <v>99</v>
      </c>
      <c r="E30" s="98"/>
      <c r="F30" s="99">
        <v>1000</v>
      </c>
      <c r="G30" s="10" t="s">
        <v>285</v>
      </c>
      <c r="H30" s="100">
        <v>45974</v>
      </c>
      <c r="I30" s="101">
        <v>45974</v>
      </c>
      <c r="J30" s="10" t="s">
        <v>286</v>
      </c>
      <c r="K30" s="10" t="s">
        <v>229</v>
      </c>
      <c r="L30" s="10" t="s">
        <v>205</v>
      </c>
      <c r="M30" s="10" t="s">
        <v>154</v>
      </c>
      <c r="N30" s="12" t="s">
        <v>155</v>
      </c>
      <c r="O30" s="10" t="s">
        <v>156</v>
      </c>
      <c r="P30" s="12" t="s">
        <v>287</v>
      </c>
      <c r="Q30" s="10" t="s">
        <v>288</v>
      </c>
      <c r="R30" s="10" t="s">
        <v>205</v>
      </c>
      <c r="S30" s="10" t="s">
        <v>159</v>
      </c>
      <c r="T30" s="2" t="str">
        <f t="shared" si="0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 ht="14.4" x14ac:dyDescent="0.3">
      <c r="A31" s="143" t="s">
        <v>148</v>
      </c>
      <c r="B31" s="144" t="s">
        <v>149</v>
      </c>
      <c r="C31" s="145">
        <f>IFERROR((D31*1.5)/1440, "?")</f>
        <v>8.7499999999999994E-2</v>
      </c>
      <c r="D31" s="144">
        <v>84</v>
      </c>
      <c r="E31" s="146"/>
      <c r="F31" s="147">
        <v>0</v>
      </c>
      <c r="G31" s="144" t="s">
        <v>295</v>
      </c>
      <c r="H31" s="148">
        <v>45975</v>
      </c>
      <c r="I31" s="149">
        <v>45975</v>
      </c>
      <c r="J31" s="144" t="s">
        <v>296</v>
      </c>
      <c r="K31" s="144" t="s">
        <v>186</v>
      </c>
      <c r="L31" s="144" t="s">
        <v>153</v>
      </c>
      <c r="M31" s="144" t="s">
        <v>154</v>
      </c>
      <c r="N31" s="143" t="s">
        <v>155</v>
      </c>
      <c r="O31" s="144" t="s">
        <v>156</v>
      </c>
      <c r="P31" s="150" t="s">
        <v>297</v>
      </c>
      <c r="Q31" s="144" t="s">
        <v>298</v>
      </c>
      <c r="R31" s="144" t="s">
        <v>153</v>
      </c>
      <c r="S31" s="144" t="s">
        <v>159</v>
      </c>
      <c r="T31" s="2" t="str">
        <f t="shared" si="0"/>
        <v>5080E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2" spans="1:21" ht="14.4" x14ac:dyDescent="0.3">
      <c r="A32" s="143" t="s">
        <v>148</v>
      </c>
      <c r="B32" s="144" t="s">
        <v>149</v>
      </c>
      <c r="C32" s="145">
        <f>IFERROR((D32*1.5)/1440, "?")</f>
        <v>0.11041666666666666</v>
      </c>
      <c r="D32" s="144">
        <v>106</v>
      </c>
      <c r="E32" s="146"/>
      <c r="F32" s="147">
        <v>0</v>
      </c>
      <c r="G32" s="144" t="s">
        <v>299</v>
      </c>
      <c r="H32" s="148">
        <v>45975</v>
      </c>
      <c r="I32" s="149">
        <v>45975</v>
      </c>
      <c r="J32" s="144" t="s">
        <v>300</v>
      </c>
      <c r="K32" s="144" t="s">
        <v>186</v>
      </c>
      <c r="L32" s="144" t="s">
        <v>153</v>
      </c>
      <c r="M32" s="144" t="s">
        <v>154</v>
      </c>
      <c r="N32" s="143" t="s">
        <v>155</v>
      </c>
      <c r="O32" s="144" t="s">
        <v>156</v>
      </c>
      <c r="P32" s="150" t="s">
        <v>301</v>
      </c>
      <c r="Q32" s="144" t="s">
        <v>302</v>
      </c>
      <c r="R32" s="144" t="s">
        <v>153</v>
      </c>
      <c r="S32" s="144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3" spans="1:21" ht="14.4" x14ac:dyDescent="0.3">
      <c r="A33" s="143" t="s">
        <v>148</v>
      </c>
      <c r="B33" s="144" t="s">
        <v>303</v>
      </c>
      <c r="C33" s="145">
        <f>IFERROR((D33*1.5)/1440, "?")</f>
        <v>0.17291666666666666</v>
      </c>
      <c r="D33" s="144">
        <v>166</v>
      </c>
      <c r="E33" s="146"/>
      <c r="F33" s="147">
        <v>1328</v>
      </c>
      <c r="G33" s="144" t="s">
        <v>304</v>
      </c>
      <c r="H33" s="148">
        <v>45975</v>
      </c>
      <c r="I33" s="149">
        <v>45975</v>
      </c>
      <c r="J33" s="144" t="s">
        <v>305</v>
      </c>
      <c r="K33" s="144" t="s">
        <v>204</v>
      </c>
      <c r="L33" s="144" t="s">
        <v>154</v>
      </c>
      <c r="M33" s="144" t="s">
        <v>205</v>
      </c>
      <c r="N33" s="143" t="s">
        <v>165</v>
      </c>
      <c r="O33" s="152" t="s">
        <v>306</v>
      </c>
      <c r="P33" s="143" t="s">
        <v>156</v>
      </c>
      <c r="Q33" s="144" t="s">
        <v>307</v>
      </c>
      <c r="R33" s="144" t="s">
        <v>205</v>
      </c>
      <c r="S33" s="144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4" spans="1:21" ht="14.4" x14ac:dyDescent="0.3">
      <c r="A34" s="12" t="s">
        <v>148</v>
      </c>
      <c r="B34" s="10" t="s">
        <v>168</v>
      </c>
      <c r="C34" s="97">
        <f>IFERROR((D34*1.5)/1440, "?")</f>
        <v>0.4375</v>
      </c>
      <c r="D34" s="10">
        <v>420</v>
      </c>
      <c r="E34" s="98"/>
      <c r="F34" s="99">
        <v>3662.3</v>
      </c>
      <c r="G34" s="10" t="s">
        <v>308</v>
      </c>
      <c r="H34" s="100">
        <v>45975</v>
      </c>
      <c r="I34" s="101">
        <v>45975</v>
      </c>
      <c r="J34" s="10" t="s">
        <v>309</v>
      </c>
      <c r="K34" s="10" t="s">
        <v>234</v>
      </c>
      <c r="L34" s="10" t="s">
        <v>172</v>
      </c>
      <c r="M34" s="10" t="s">
        <v>154</v>
      </c>
      <c r="N34" s="12" t="s">
        <v>155</v>
      </c>
      <c r="O34" s="10" t="s">
        <v>156</v>
      </c>
      <c r="P34" s="137" t="s">
        <v>310</v>
      </c>
      <c r="Q34" s="10" t="s">
        <v>311</v>
      </c>
      <c r="R34" s="10" t="s">
        <v>312</v>
      </c>
      <c r="S34" s="10" t="s">
        <v>159</v>
      </c>
      <c r="T34" s="2" t="str">
        <f t="shared" si="1"/>
        <v>6100J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5" spans="1:21" ht="14.4" x14ac:dyDescent="0.3">
      <c r="A35" s="12" t="s">
        <v>208</v>
      </c>
      <c r="B35" s="10" t="s">
        <v>209</v>
      </c>
      <c r="C35" s="97">
        <f>IFERROR((D35*1.5)/1440, "?")</f>
        <v>0.15625</v>
      </c>
      <c r="D35" s="10">
        <v>150</v>
      </c>
      <c r="E35" s="98">
        <v>500</v>
      </c>
      <c r="F35" s="99"/>
      <c r="G35" s="10" t="s">
        <v>210</v>
      </c>
      <c r="H35" s="100">
        <v>45966</v>
      </c>
      <c r="I35" s="101">
        <v>45966</v>
      </c>
      <c r="J35" s="10" t="s">
        <v>211</v>
      </c>
      <c r="K35" s="10" t="s">
        <v>199</v>
      </c>
      <c r="L35" s="10" t="s">
        <v>193</v>
      </c>
      <c r="M35" s="10" t="s">
        <v>154</v>
      </c>
      <c r="N35" s="12" t="s">
        <v>155</v>
      </c>
      <c r="O35" s="10" t="s">
        <v>156</v>
      </c>
      <c r="P35" s="12" t="s">
        <v>212</v>
      </c>
      <c r="Q35" s="10" t="s">
        <v>213</v>
      </c>
      <c r="R35" s="10" t="s">
        <v>193</v>
      </c>
      <c r="S35" s="10" t="s">
        <v>179</v>
      </c>
      <c r="T35" s="2" t="str">
        <f t="shared" si="1"/>
        <v>0630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36" spans="1:21" ht="14.4" x14ac:dyDescent="0.3">
      <c r="A36" s="12" t="s">
        <v>208</v>
      </c>
      <c r="B36" s="10" t="s">
        <v>209</v>
      </c>
      <c r="C36" s="97">
        <f>IFERROR((D36*1.5)/1440, "?")</f>
        <v>0.15625</v>
      </c>
      <c r="D36" s="10">
        <v>150</v>
      </c>
      <c r="E36" s="98">
        <v>500</v>
      </c>
      <c r="F36" s="99"/>
      <c r="G36" s="10" t="s">
        <v>214</v>
      </c>
      <c r="H36" s="100">
        <v>45966</v>
      </c>
      <c r="I36" s="101">
        <v>45966</v>
      </c>
      <c r="J36" s="10" t="s">
        <v>211</v>
      </c>
      <c r="K36" s="10" t="s">
        <v>199</v>
      </c>
      <c r="L36" s="10" t="s">
        <v>193</v>
      </c>
      <c r="M36" s="10" t="s">
        <v>154</v>
      </c>
      <c r="N36" s="12" t="s">
        <v>155</v>
      </c>
      <c r="O36" s="10" t="s">
        <v>156</v>
      </c>
      <c r="P36" s="12" t="s">
        <v>212</v>
      </c>
      <c r="Q36" s="10" t="s">
        <v>213</v>
      </c>
      <c r="R36" s="10" t="s">
        <v>193</v>
      </c>
      <c r="S36" s="10" t="s">
        <v>182</v>
      </c>
      <c r="T36" s="2" t="str">
        <f t="shared" si="1"/>
        <v>S550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37" spans="1:21" ht="14.4" x14ac:dyDescent="0.3">
      <c r="A37" s="12" t="s">
        <v>208</v>
      </c>
      <c r="B37" s="10" t="s">
        <v>209</v>
      </c>
      <c r="C37" s="97">
        <f>IFERROR((D37*1.5)/1440, "?")</f>
        <v>0.52083333333333337</v>
      </c>
      <c r="D37" s="10">
        <v>500</v>
      </c>
      <c r="E37" s="98">
        <v>800</v>
      </c>
      <c r="F37" s="99"/>
      <c r="G37" s="10" t="s">
        <v>249</v>
      </c>
      <c r="H37" s="100">
        <v>45972</v>
      </c>
      <c r="I37" s="101">
        <v>45971</v>
      </c>
      <c r="J37" s="10" t="s">
        <v>250</v>
      </c>
      <c r="K37" s="10" t="s">
        <v>216</v>
      </c>
      <c r="L37" s="10" t="s">
        <v>172</v>
      </c>
      <c r="M37" s="10" t="s">
        <v>154</v>
      </c>
      <c r="N37" s="12" t="s">
        <v>251</v>
      </c>
      <c r="O37" s="10" t="s">
        <v>156</v>
      </c>
      <c r="P37" s="13" t="s">
        <v>252</v>
      </c>
      <c r="Q37" s="10" t="s">
        <v>253</v>
      </c>
      <c r="R37" s="10" t="s">
        <v>172</v>
      </c>
      <c r="S37" s="10" t="s">
        <v>179</v>
      </c>
      <c r="T37" s="2" t="str">
        <f t="shared" si="1"/>
        <v>RD30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38" spans="1:21" ht="14.4" x14ac:dyDescent="0.3">
      <c r="A38" s="12" t="s">
        <v>208</v>
      </c>
      <c r="B38" s="10" t="s">
        <v>209</v>
      </c>
      <c r="C38" s="97">
        <f>IFERROR((D38*1.5)/1440, "?")</f>
        <v>0.52083333333333337</v>
      </c>
      <c r="D38" s="10">
        <v>500</v>
      </c>
      <c r="E38" s="98">
        <v>2200</v>
      </c>
      <c r="F38" s="99"/>
      <c r="G38" s="10" t="s">
        <v>254</v>
      </c>
      <c r="H38" s="100">
        <v>45972</v>
      </c>
      <c r="I38" s="101">
        <v>45971</v>
      </c>
      <c r="J38" s="10" t="s">
        <v>250</v>
      </c>
      <c r="K38" s="10" t="s">
        <v>216</v>
      </c>
      <c r="L38" s="10" t="s">
        <v>172</v>
      </c>
      <c r="M38" s="10" t="s">
        <v>154</v>
      </c>
      <c r="N38" s="12" t="s">
        <v>251</v>
      </c>
      <c r="O38" s="10" t="s">
        <v>156</v>
      </c>
      <c r="P38" s="13" t="s">
        <v>252</v>
      </c>
      <c r="Q38" s="10" t="s">
        <v>253</v>
      </c>
      <c r="R38" s="10" t="s">
        <v>172</v>
      </c>
      <c r="S38" s="10" t="s">
        <v>182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S550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39" spans="1:21" ht="14.4" x14ac:dyDescent="0.3">
      <c r="A39" s="12" t="s">
        <v>208</v>
      </c>
      <c r="B39" s="10" t="s">
        <v>189</v>
      </c>
      <c r="C39" s="97">
        <f>IFERROR((D39*1.5)/1440, "?")</f>
        <v>0.31874999999999998</v>
      </c>
      <c r="D39" s="10">
        <v>306</v>
      </c>
      <c r="E39" s="98">
        <f>IFERROR((D39*6),"?")</f>
        <v>1836</v>
      </c>
      <c r="F39" s="99"/>
      <c r="G39" s="10" t="s">
        <v>289</v>
      </c>
      <c r="H39" s="100">
        <v>45975</v>
      </c>
      <c r="I39" s="101">
        <v>45975</v>
      </c>
      <c r="J39" s="10" t="s">
        <v>290</v>
      </c>
      <c r="K39" s="10" t="s">
        <v>229</v>
      </c>
      <c r="L39" s="10" t="s">
        <v>205</v>
      </c>
      <c r="M39" s="10" t="s">
        <v>154</v>
      </c>
      <c r="N39" s="12" t="s">
        <v>291</v>
      </c>
      <c r="O39" s="10" t="s">
        <v>156</v>
      </c>
      <c r="P39" s="137" t="s">
        <v>292</v>
      </c>
      <c r="Q39" s="10" t="s">
        <v>293</v>
      </c>
      <c r="R39" s="10" t="s">
        <v>205</v>
      </c>
      <c r="S39" s="10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t="14.4" x14ac:dyDescent="0.3">
      <c r="A40" s="12" t="s">
        <v>208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294</v>
      </c>
      <c r="H40" s="100">
        <v>45975</v>
      </c>
      <c r="I40" s="101">
        <v>45975</v>
      </c>
      <c r="J40" s="10" t="s">
        <v>290</v>
      </c>
      <c r="K40" s="10" t="s">
        <v>229</v>
      </c>
      <c r="L40" s="10" t="s">
        <v>205</v>
      </c>
      <c r="M40" s="10" t="s">
        <v>154</v>
      </c>
      <c r="N40" s="12" t="s">
        <v>291</v>
      </c>
      <c r="O40" s="10" t="s">
        <v>156</v>
      </c>
      <c r="P40" s="137" t="s">
        <v>292</v>
      </c>
      <c r="Q40" s="10" t="s">
        <v>293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" x14ac:dyDescent="0.3">
      <c r="A41" s="12" t="s">
        <v>208</v>
      </c>
      <c r="B41" s="10" t="s">
        <v>313</v>
      </c>
      <c r="C41" s="97">
        <f>IFERROR((D41*1.5)/1440, "?")</f>
        <v>0.49791666666666667</v>
      </c>
      <c r="D41" s="10">
        <v>478</v>
      </c>
      <c r="E41" s="98"/>
      <c r="F41" s="99">
        <v>1600</v>
      </c>
      <c r="G41" s="10" t="s">
        <v>314</v>
      </c>
      <c r="H41" s="100">
        <v>45975</v>
      </c>
      <c r="I41" s="101">
        <v>45975</v>
      </c>
      <c r="J41" s="10" t="s">
        <v>290</v>
      </c>
      <c r="K41" s="10" t="s">
        <v>229</v>
      </c>
      <c r="L41" s="10" t="s">
        <v>153</v>
      </c>
      <c r="M41" s="10" t="s">
        <v>154</v>
      </c>
      <c r="N41" s="12" t="s">
        <v>291</v>
      </c>
      <c r="O41" s="10" t="s">
        <v>156</v>
      </c>
      <c r="P41" s="137" t="s">
        <v>292</v>
      </c>
      <c r="Q41" s="10" t="s">
        <v>293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" x14ac:dyDescent="0.3">
      <c r="A42" s="12" t="s">
        <v>208</v>
      </c>
      <c r="B42" s="10" t="s">
        <v>313</v>
      </c>
      <c r="C42" s="97">
        <f>IFERROR((D42*1.5)/1440, "?")</f>
        <v>0.49791666666666667</v>
      </c>
      <c r="D42" s="10">
        <v>478</v>
      </c>
      <c r="E42" s="98"/>
      <c r="F42" s="99">
        <v>3800</v>
      </c>
      <c r="G42" s="10" t="s">
        <v>315</v>
      </c>
      <c r="H42" s="100">
        <v>45975</v>
      </c>
      <c r="I42" s="101">
        <v>45975</v>
      </c>
      <c r="J42" s="10" t="s">
        <v>290</v>
      </c>
      <c r="K42" s="10" t="s">
        <v>229</v>
      </c>
      <c r="L42" s="10" t="s">
        <v>153</v>
      </c>
      <c r="M42" s="10" t="s">
        <v>154</v>
      </c>
      <c r="N42" s="12" t="s">
        <v>291</v>
      </c>
      <c r="O42" s="10" t="s">
        <v>156</v>
      </c>
      <c r="P42" s="137" t="s">
        <v>292</v>
      </c>
      <c r="Q42" s="10" t="s">
        <v>293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" x14ac:dyDescent="0.3">
      <c r="A43" s="12" t="s">
        <v>208</v>
      </c>
      <c r="B43" s="10" t="s">
        <v>189</v>
      </c>
      <c r="C43" s="97">
        <f>IFERROR((D43*1.5)/1440, "?")</f>
        <v>0.31874999999999998</v>
      </c>
      <c r="D43" s="10">
        <v>306</v>
      </c>
      <c r="E43" s="98">
        <f>IFERROR((D43*6),"?")</f>
        <v>1836</v>
      </c>
      <c r="F43" s="99"/>
      <c r="G43" s="10" t="s">
        <v>289</v>
      </c>
      <c r="H43" s="100">
        <v>45978</v>
      </c>
      <c r="I43" s="100">
        <v>45978</v>
      </c>
      <c r="J43" s="139" t="s">
        <v>316</v>
      </c>
      <c r="K43" s="10" t="s">
        <v>229</v>
      </c>
      <c r="L43" s="10" t="s">
        <v>205</v>
      </c>
      <c r="M43" s="10" t="s">
        <v>154</v>
      </c>
      <c r="N43" s="12" t="s">
        <v>291</v>
      </c>
      <c r="O43" s="10" t="s">
        <v>156</v>
      </c>
      <c r="P43" s="102" t="s">
        <v>292</v>
      </c>
      <c r="Q43" s="10" t="s">
        <v>293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4" spans="1:21" ht="14.4" x14ac:dyDescent="0.3">
      <c r="A44" s="12" t="s">
        <v>208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294</v>
      </c>
      <c r="H44" s="100">
        <v>45978</v>
      </c>
      <c r="I44" s="100">
        <v>45978</v>
      </c>
      <c r="J44" s="139" t="s">
        <v>316</v>
      </c>
      <c r="K44" s="10" t="s">
        <v>229</v>
      </c>
      <c r="L44" s="10" t="s">
        <v>205</v>
      </c>
      <c r="M44" s="10" t="s">
        <v>154</v>
      </c>
      <c r="N44" s="12" t="s">
        <v>291</v>
      </c>
      <c r="O44" s="10" t="s">
        <v>156</v>
      </c>
      <c r="P44" s="102" t="s">
        <v>292</v>
      </c>
      <c r="Q44" s="10" t="s">
        <v>293</v>
      </c>
      <c r="R44" s="10" t="s">
        <v>205</v>
      </c>
      <c r="S44" s="10" t="s">
        <v>159</v>
      </c>
      <c r="T44" s="151" t="str">
        <f t="shared" si="2"/>
        <v>5080E</v>
      </c>
      <c r="U44" s="15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 ht="14.4" x14ac:dyDescent="0.3">
      <c r="A45" s="12" t="s">
        <v>332</v>
      </c>
      <c r="B45" s="10" t="s">
        <v>333</v>
      </c>
      <c r="C45" s="97">
        <f>IFERROR((D45*1.5)/1440, "?")</f>
        <v>0.76354166666666667</v>
      </c>
      <c r="D45" s="10">
        <v>733</v>
      </c>
      <c r="E45" s="98"/>
      <c r="F45" s="99">
        <v>9600</v>
      </c>
      <c r="G45" s="10" t="s">
        <v>334</v>
      </c>
      <c r="H45" s="100">
        <v>45979</v>
      </c>
      <c r="I45" s="101"/>
      <c r="J45" s="10" t="s">
        <v>335</v>
      </c>
      <c r="K45" s="10" t="s">
        <v>171</v>
      </c>
      <c r="L45" s="10" t="s">
        <v>172</v>
      </c>
      <c r="M45" s="10" t="s">
        <v>154</v>
      </c>
      <c r="N45" s="12" t="s">
        <v>155</v>
      </c>
      <c r="O45" s="10" t="s">
        <v>156</v>
      </c>
      <c r="P45" s="138" t="s">
        <v>336</v>
      </c>
      <c r="Q45" s="10" t="s">
        <v>337</v>
      </c>
      <c r="R45" s="10" t="s">
        <v>172</v>
      </c>
      <c r="S45" s="10" t="s">
        <v>196</v>
      </c>
      <c r="T45" s="2" t="str">
        <f t="shared" si="2"/>
        <v>4030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6" spans="1:21" ht="14.4" x14ac:dyDescent="0.3">
      <c r="A46" s="12" t="s">
        <v>324</v>
      </c>
      <c r="B46" s="10" t="s">
        <v>189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325</v>
      </c>
      <c r="H46" s="100">
        <v>45979</v>
      </c>
      <c r="I46" s="101"/>
      <c r="J46" s="10" t="s">
        <v>326</v>
      </c>
      <c r="K46" s="10" t="s">
        <v>229</v>
      </c>
      <c r="L46" s="10" t="s">
        <v>154</v>
      </c>
      <c r="M46" s="10" t="s">
        <v>154</v>
      </c>
      <c r="N46" s="12" t="s">
        <v>327</v>
      </c>
      <c r="O46" s="10"/>
      <c r="P46" s="137" t="s">
        <v>328</v>
      </c>
      <c r="Q46" s="10"/>
      <c r="R46" s="10" t="s">
        <v>205</v>
      </c>
      <c r="S46" s="10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 ht="14.4" x14ac:dyDescent="0.3">
      <c r="A47" s="12" t="s">
        <v>324</v>
      </c>
      <c r="B47" s="10" t="s">
        <v>284</v>
      </c>
      <c r="C47" s="97">
        <f>IFERROR((D47*1.5)/1440, "?")</f>
        <v>0.19479166666666667</v>
      </c>
      <c r="D47" s="10">
        <v>187</v>
      </c>
      <c r="E47" s="98"/>
      <c r="F47" s="99">
        <v>0</v>
      </c>
      <c r="G47" s="10" t="s">
        <v>329</v>
      </c>
      <c r="H47" s="100">
        <v>45979</v>
      </c>
      <c r="I47" s="101"/>
      <c r="J47" s="10" t="s">
        <v>326</v>
      </c>
      <c r="K47" s="10" t="s">
        <v>229</v>
      </c>
      <c r="L47" s="10" t="s">
        <v>205</v>
      </c>
      <c r="M47" s="10" t="s">
        <v>154</v>
      </c>
      <c r="N47" s="12" t="s">
        <v>165</v>
      </c>
      <c r="O47" s="10" t="s">
        <v>156</v>
      </c>
      <c r="P47" s="137" t="s">
        <v>328</v>
      </c>
      <c r="Q47" s="10"/>
      <c r="R47" s="10" t="s">
        <v>205</v>
      </c>
      <c r="S47" s="10" t="s">
        <v>330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 ht="14.4" x14ac:dyDescent="0.3">
      <c r="A48" s="12" t="s">
        <v>338</v>
      </c>
      <c r="B48" s="10" t="s">
        <v>284</v>
      </c>
      <c r="C48" s="97">
        <f>IFERROR((D48*1.5)/1440, "?")</f>
        <v>2.2916666666666665E-2</v>
      </c>
      <c r="D48" s="10">
        <v>22</v>
      </c>
      <c r="E48" s="98"/>
      <c r="F48" s="99">
        <v>400</v>
      </c>
      <c r="G48" s="10" t="s">
        <v>339</v>
      </c>
      <c r="H48" s="100">
        <v>45980</v>
      </c>
      <c r="I48" s="101"/>
      <c r="J48" s="10" t="s">
        <v>340</v>
      </c>
      <c r="K48" s="10" t="s">
        <v>229</v>
      </c>
      <c r="L48" s="10" t="s">
        <v>205</v>
      </c>
      <c r="M48" s="10" t="s">
        <v>154</v>
      </c>
      <c r="N48" s="12" t="s">
        <v>155</v>
      </c>
      <c r="O48" s="10" t="s">
        <v>156</v>
      </c>
      <c r="P48" s="138" t="s">
        <v>341</v>
      </c>
      <c r="Q48" s="10" t="s">
        <v>342</v>
      </c>
      <c r="R48" s="10" t="s">
        <v>205</v>
      </c>
      <c r="S48" s="10" t="s">
        <v>179</v>
      </c>
      <c r="T48" s="2" t="str">
        <f t="shared" si="2"/>
        <v>RD30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 ht="14.4" x14ac:dyDescent="0.3">
      <c r="A49" s="12" t="s">
        <v>338</v>
      </c>
      <c r="B49" s="10" t="s">
        <v>284</v>
      </c>
      <c r="C49" s="97">
        <f>IFERROR((D49*1.5)/1440, "?")</f>
        <v>2.2916666666666665E-2</v>
      </c>
      <c r="D49" s="10">
        <v>22</v>
      </c>
      <c r="E49" s="98"/>
      <c r="F49" s="99">
        <v>800</v>
      </c>
      <c r="G49" s="10" t="s">
        <v>343</v>
      </c>
      <c r="H49" s="100">
        <v>45980</v>
      </c>
      <c r="I49" s="101"/>
      <c r="J49" s="10" t="s">
        <v>340</v>
      </c>
      <c r="K49" s="10" t="s">
        <v>229</v>
      </c>
      <c r="L49" s="10" t="s">
        <v>205</v>
      </c>
      <c r="M49" s="10" t="s">
        <v>154</v>
      </c>
      <c r="N49" s="12" t="s">
        <v>155</v>
      </c>
      <c r="O49" s="10" t="s">
        <v>156</v>
      </c>
      <c r="P49" s="138" t="s">
        <v>341</v>
      </c>
      <c r="Q49" s="10" t="s">
        <v>342</v>
      </c>
      <c r="R49" s="10" t="s">
        <v>205</v>
      </c>
      <c r="S49" s="10" t="s">
        <v>182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S550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 ht="14.4" x14ac:dyDescent="0.3">
      <c r="A50" s="12" t="s">
        <v>338</v>
      </c>
      <c r="B50" s="10" t="s">
        <v>284</v>
      </c>
      <c r="C50" s="97">
        <f>IFERROR((D50*1.5)/1440, "?")</f>
        <v>2.2916666666666665E-2</v>
      </c>
      <c r="D50" s="10">
        <v>22</v>
      </c>
      <c r="E50" s="98"/>
      <c r="F50" s="99">
        <v>300</v>
      </c>
      <c r="G50" s="10" t="s">
        <v>344</v>
      </c>
      <c r="H50" s="100">
        <v>45980</v>
      </c>
      <c r="I50" s="101"/>
      <c r="J50" s="10" t="s">
        <v>345</v>
      </c>
      <c r="K50" s="10" t="s">
        <v>229</v>
      </c>
      <c r="L50" s="10" t="s">
        <v>154</v>
      </c>
      <c r="M50" s="10" t="s">
        <v>205</v>
      </c>
      <c r="N50" s="12" t="s">
        <v>165</v>
      </c>
      <c r="O50" s="10" t="s">
        <v>341</v>
      </c>
      <c r="P50" s="12" t="s">
        <v>156</v>
      </c>
      <c r="Q50" s="10" t="s">
        <v>346</v>
      </c>
      <c r="R50" s="10" t="s">
        <v>205</v>
      </c>
      <c r="S50" s="10" t="s">
        <v>347</v>
      </c>
      <c r="T50" s="151" t="str">
        <f t="shared" si="3"/>
        <v>2881</v>
      </c>
      <c r="U50" s="15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1" spans="1:21" ht="14.4" x14ac:dyDescent="0.3">
      <c r="A51" s="12" t="s">
        <v>338</v>
      </c>
      <c r="B51" s="10" t="s">
        <v>284</v>
      </c>
      <c r="C51" s="97">
        <f>IFERROR((D51*1.5)/1440, "?")</f>
        <v>2.2916666666666665E-2</v>
      </c>
      <c r="D51" s="10">
        <v>22</v>
      </c>
      <c r="E51" s="98"/>
      <c r="F51" s="99">
        <v>300</v>
      </c>
      <c r="G51" s="10" t="s">
        <v>348</v>
      </c>
      <c r="H51" s="100">
        <v>45980</v>
      </c>
      <c r="I51" s="101"/>
      <c r="J51" s="10" t="s">
        <v>349</v>
      </c>
      <c r="K51" s="10" t="s">
        <v>229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341</v>
      </c>
      <c r="Q51" s="10" t="s">
        <v>350</v>
      </c>
      <c r="R51" s="10" t="s">
        <v>205</v>
      </c>
      <c r="S51" s="10" t="s">
        <v>347</v>
      </c>
      <c r="T51" s="151" t="str">
        <f t="shared" si="3"/>
        <v>5870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2" spans="1:21" ht="14.4" x14ac:dyDescent="0.3">
      <c r="A52" s="12" t="s">
        <v>338</v>
      </c>
      <c r="B52" s="10" t="s">
        <v>284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351</v>
      </c>
      <c r="H52" s="100">
        <v>45980</v>
      </c>
      <c r="I52" s="101"/>
      <c r="J52" s="10" t="s">
        <v>345</v>
      </c>
      <c r="K52" s="10" t="s">
        <v>229</v>
      </c>
      <c r="L52" s="10" t="s">
        <v>154</v>
      </c>
      <c r="M52" s="10" t="s">
        <v>205</v>
      </c>
      <c r="N52" s="12" t="s">
        <v>165</v>
      </c>
      <c r="O52" s="140" t="s">
        <v>341</v>
      </c>
      <c r="P52" s="12" t="s">
        <v>156</v>
      </c>
      <c r="Q52" s="10" t="s">
        <v>346</v>
      </c>
      <c r="R52" s="10" t="s">
        <v>205</v>
      </c>
      <c r="S52" s="10" t="s">
        <v>182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B251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t="14.4" x14ac:dyDescent="0.3">
      <c r="A53" s="12" t="s">
        <v>338</v>
      </c>
      <c r="B53" s="10" t="s">
        <v>284</v>
      </c>
      <c r="C53" s="97">
        <f>IFERROR((D53*1.5)/1440, "?")</f>
        <v>2.2916666666666665E-2</v>
      </c>
      <c r="D53" s="10">
        <v>22</v>
      </c>
      <c r="E53" s="98"/>
      <c r="F53" s="99">
        <v>400</v>
      </c>
      <c r="G53" s="10" t="s">
        <v>352</v>
      </c>
      <c r="H53" s="100">
        <v>45980</v>
      </c>
      <c r="I53" s="101"/>
      <c r="J53" s="10" t="s">
        <v>345</v>
      </c>
      <c r="K53" s="10" t="s">
        <v>229</v>
      </c>
      <c r="L53" s="10" t="s">
        <v>154</v>
      </c>
      <c r="M53" s="10" t="s">
        <v>205</v>
      </c>
      <c r="N53" s="12" t="s">
        <v>165</v>
      </c>
      <c r="O53" s="140" t="s">
        <v>341</v>
      </c>
      <c r="P53" s="12" t="s">
        <v>156</v>
      </c>
      <c r="Q53" s="10" t="s">
        <v>346</v>
      </c>
      <c r="R53" s="10" t="s">
        <v>205</v>
      </c>
      <c r="S53" s="10" t="s">
        <v>179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Y358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 ht="14.4" x14ac:dyDescent="0.3">
      <c r="A54" s="12" t="s">
        <v>331</v>
      </c>
      <c r="B54" s="10" t="s">
        <v>284</v>
      </c>
      <c r="C54" s="97">
        <f>IFERROR((D54*1.5)/1440, "?")</f>
        <v>0.49791666666666667</v>
      </c>
      <c r="D54" s="10">
        <v>478</v>
      </c>
      <c r="E54" s="98"/>
      <c r="F54" s="99">
        <v>0</v>
      </c>
      <c r="G54" s="10" t="s">
        <v>314</v>
      </c>
      <c r="H54" s="100">
        <v>45979</v>
      </c>
      <c r="I54" s="101"/>
      <c r="J54" s="139" t="s">
        <v>316</v>
      </c>
      <c r="K54" s="10" t="s">
        <v>229</v>
      </c>
      <c r="L54" s="10" t="s">
        <v>153</v>
      </c>
      <c r="M54" s="10" t="s">
        <v>154</v>
      </c>
      <c r="N54" s="12" t="s">
        <v>291</v>
      </c>
      <c r="O54" s="10" t="s">
        <v>156</v>
      </c>
      <c r="P54" s="102" t="s">
        <v>292</v>
      </c>
      <c r="Q54" s="10" t="s">
        <v>293</v>
      </c>
      <c r="R54" s="10" t="s">
        <v>205</v>
      </c>
      <c r="S54" s="10" t="s">
        <v>179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FA25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5" spans="1:21" ht="14.4" x14ac:dyDescent="0.3">
      <c r="A55" s="12" t="s">
        <v>331</v>
      </c>
      <c r="B55" s="10" t="s">
        <v>284</v>
      </c>
      <c r="C55" s="97">
        <f>IFERROR((D55*1.5)/1440, "?")</f>
        <v>0.49791666666666667</v>
      </c>
      <c r="D55" s="10">
        <v>478</v>
      </c>
      <c r="E55" s="98"/>
      <c r="F55" s="99">
        <v>0</v>
      </c>
      <c r="G55" s="10" t="s">
        <v>315</v>
      </c>
      <c r="H55" s="100">
        <v>45979</v>
      </c>
      <c r="I55" s="101"/>
      <c r="J55" s="139" t="s">
        <v>316</v>
      </c>
      <c r="K55" s="10" t="s">
        <v>229</v>
      </c>
      <c r="L55" s="10" t="s">
        <v>153</v>
      </c>
      <c r="M55" s="10" t="s">
        <v>154</v>
      </c>
      <c r="N55" s="12" t="s">
        <v>291</v>
      </c>
      <c r="O55" s="10" t="s">
        <v>156</v>
      </c>
      <c r="P55" s="102" t="s">
        <v>292</v>
      </c>
      <c r="Q55" s="10" t="s">
        <v>293</v>
      </c>
      <c r="R55" s="10" t="s">
        <v>205</v>
      </c>
      <c r="S55" s="10" t="s">
        <v>182</v>
      </c>
      <c r="T55" s="2" t="str">
        <f t="shared" si="6"/>
        <v>S440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6" spans="1:21" ht="14.4" x14ac:dyDescent="0.3">
      <c r="A56" s="12" t="s">
        <v>353</v>
      </c>
      <c r="B56" s="10" t="s">
        <v>354</v>
      </c>
      <c r="C56" s="97">
        <f>IFERROR((D56*1.5)/1440, "?")</f>
        <v>5.8333333333333334E-2</v>
      </c>
      <c r="D56" s="10">
        <v>56</v>
      </c>
      <c r="E56" s="98">
        <f>IFERROR((D56*6),"?")</f>
        <v>336</v>
      </c>
      <c r="F56" s="99"/>
      <c r="G56" s="10" t="s">
        <v>355</v>
      </c>
      <c r="H56" s="100">
        <v>45980</v>
      </c>
      <c r="I56" s="101"/>
      <c r="J56" s="10" t="s">
        <v>356</v>
      </c>
      <c r="K56" s="10" t="s">
        <v>320</v>
      </c>
      <c r="L56" s="10" t="s">
        <v>193</v>
      </c>
      <c r="M56" s="10" t="s">
        <v>154</v>
      </c>
      <c r="N56" s="12" t="s">
        <v>291</v>
      </c>
      <c r="O56" s="10" t="s">
        <v>156</v>
      </c>
      <c r="P56" s="138" t="s">
        <v>357</v>
      </c>
      <c r="Q56" s="10" t="s">
        <v>358</v>
      </c>
      <c r="R56" s="10" t="s">
        <v>193</v>
      </c>
      <c r="S56" s="10" t="s">
        <v>159</v>
      </c>
      <c r="T56" s="2" t="str">
        <f t="shared" si="6"/>
        <v>7215C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7" spans="1:21" ht="14.4" x14ac:dyDescent="0.3">
      <c r="A57" s="12" t="s">
        <v>353</v>
      </c>
      <c r="B57" s="10" t="s">
        <v>354</v>
      </c>
      <c r="C57" s="97">
        <f>IFERROR((D57*1.5)/1440, "?")</f>
        <v>5.8333333333333334E-2</v>
      </c>
      <c r="D57" s="10">
        <v>56</v>
      </c>
      <c r="E57" s="98">
        <f>IFERROR((D57*6),"?")</f>
        <v>336</v>
      </c>
      <c r="F57" s="99"/>
      <c r="G57" s="10" t="s">
        <v>359</v>
      </c>
      <c r="H57" s="100">
        <v>45980</v>
      </c>
      <c r="I57" s="101"/>
      <c r="J57" s="10" t="s">
        <v>356</v>
      </c>
      <c r="K57" s="10" t="s">
        <v>320</v>
      </c>
      <c r="L57" s="10" t="s">
        <v>193</v>
      </c>
      <c r="M57" s="10" t="s">
        <v>154</v>
      </c>
      <c r="N57" s="12" t="s">
        <v>291</v>
      </c>
      <c r="O57" s="10" t="s">
        <v>156</v>
      </c>
      <c r="P57" s="138" t="s">
        <v>357</v>
      </c>
      <c r="Q57" s="10" t="s">
        <v>358</v>
      </c>
      <c r="R57" s="10" t="s">
        <v>193</v>
      </c>
      <c r="S57" s="10" t="s">
        <v>159</v>
      </c>
      <c r="T57" s="2" t="str">
        <f t="shared" si="6"/>
        <v>7230C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8" spans="1:21" ht="14.4" x14ac:dyDescent="0.3">
      <c r="A58" s="12" t="s">
        <v>353</v>
      </c>
      <c r="B58" s="10" t="s">
        <v>354</v>
      </c>
      <c r="C58" s="97">
        <f>IFERROR((D58*1.5)/1440, "?")</f>
        <v>0.15625</v>
      </c>
      <c r="D58" s="10">
        <v>150</v>
      </c>
      <c r="E58" s="98">
        <v>200</v>
      </c>
      <c r="F58" s="99"/>
      <c r="G58" s="10" t="s">
        <v>210</v>
      </c>
      <c r="H58" s="100">
        <v>45980</v>
      </c>
      <c r="I58" s="101"/>
      <c r="J58" s="139" t="s">
        <v>360</v>
      </c>
      <c r="K58" s="10" t="s">
        <v>199</v>
      </c>
      <c r="L58" s="10" t="s">
        <v>154</v>
      </c>
      <c r="M58" s="10" t="s">
        <v>193</v>
      </c>
      <c r="N58" s="12" t="s">
        <v>165</v>
      </c>
      <c r="O58" s="10" t="s">
        <v>212</v>
      </c>
      <c r="P58" s="138" t="s">
        <v>156</v>
      </c>
      <c r="Q58" s="10" t="s">
        <v>213</v>
      </c>
      <c r="R58" s="10" t="s">
        <v>193</v>
      </c>
      <c r="S58" s="10" t="s">
        <v>179</v>
      </c>
      <c r="T58" s="2" t="str">
        <f t="shared" si="6"/>
        <v>0630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59" spans="1:21" ht="14.4" x14ac:dyDescent="0.3">
      <c r="A59" s="12" t="s">
        <v>353</v>
      </c>
      <c r="B59" s="10" t="s">
        <v>354</v>
      </c>
      <c r="C59" s="97">
        <f>IFERROR((D59*1.5)/1440, "?")</f>
        <v>0.15625</v>
      </c>
      <c r="D59" s="10">
        <v>150</v>
      </c>
      <c r="E59" s="98">
        <v>800</v>
      </c>
      <c r="F59" s="99"/>
      <c r="G59" s="10" t="s">
        <v>214</v>
      </c>
      <c r="H59" s="100">
        <v>45980</v>
      </c>
      <c r="I59" s="101"/>
      <c r="J59" s="139" t="s">
        <v>360</v>
      </c>
      <c r="K59" s="10" t="s">
        <v>199</v>
      </c>
      <c r="L59" s="10" t="s">
        <v>154</v>
      </c>
      <c r="M59" s="10" t="s">
        <v>193</v>
      </c>
      <c r="N59" s="12" t="s">
        <v>165</v>
      </c>
      <c r="O59" s="10" t="s">
        <v>212</v>
      </c>
      <c r="P59" s="138" t="s">
        <v>156</v>
      </c>
      <c r="Q59" s="10" t="s">
        <v>213</v>
      </c>
      <c r="R59" s="10" t="s">
        <v>193</v>
      </c>
      <c r="S59" s="10" t="s">
        <v>182</v>
      </c>
      <c r="T59" s="2" t="str">
        <f t="shared" si="6"/>
        <v>S550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0" spans="1:21" ht="14.4" x14ac:dyDescent="0.3">
      <c r="A60" s="12" t="s">
        <v>353</v>
      </c>
      <c r="B60" s="10" t="s">
        <v>354</v>
      </c>
      <c r="C60" s="97">
        <f>IFERROR((D60*1.5)/1440, "?")</f>
        <v>0.15625</v>
      </c>
      <c r="D60" s="10">
        <v>150</v>
      </c>
      <c r="E60" s="98">
        <f>IFERROR((D60*6),"?")</f>
        <v>900</v>
      </c>
      <c r="F60" s="99"/>
      <c r="G60" s="10" t="s">
        <v>362</v>
      </c>
      <c r="H60" s="100">
        <v>45985</v>
      </c>
      <c r="I60" s="101"/>
      <c r="J60" s="10" t="s">
        <v>363</v>
      </c>
      <c r="K60" s="10" t="s">
        <v>320</v>
      </c>
      <c r="L60" s="10" t="s">
        <v>193</v>
      </c>
      <c r="M60" s="10" t="s">
        <v>154</v>
      </c>
      <c r="N60" s="12" t="s">
        <v>291</v>
      </c>
      <c r="O60" s="10" t="s">
        <v>156</v>
      </c>
      <c r="P60" s="137" t="s">
        <v>364</v>
      </c>
      <c r="Q60" s="10" t="s">
        <v>365</v>
      </c>
      <c r="R60" s="10" t="s">
        <v>193</v>
      </c>
      <c r="S60" s="10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1" spans="1:21" ht="14.4" x14ac:dyDescent="0.3">
      <c r="A61" s="12" t="s">
        <v>353</v>
      </c>
      <c r="B61" s="10" t="s">
        <v>354</v>
      </c>
      <c r="C61" s="97">
        <f>IFERROR((D61*1.5)/1440, "?")</f>
        <v>0.15625</v>
      </c>
      <c r="D61" s="10">
        <v>150</v>
      </c>
      <c r="E61" s="98">
        <f>IFERROR((D61*6),"?")</f>
        <v>900</v>
      </c>
      <c r="F61" s="99"/>
      <c r="G61" s="10" t="s">
        <v>366</v>
      </c>
      <c r="H61" s="100">
        <v>45985</v>
      </c>
      <c r="I61" s="101"/>
      <c r="J61" s="10" t="s">
        <v>363</v>
      </c>
      <c r="K61" s="10" t="s">
        <v>320</v>
      </c>
      <c r="L61" s="10" t="s">
        <v>193</v>
      </c>
      <c r="M61" s="10" t="s">
        <v>154</v>
      </c>
      <c r="N61" s="12" t="s">
        <v>291</v>
      </c>
      <c r="O61" s="10" t="s">
        <v>156</v>
      </c>
      <c r="P61" s="137" t="s">
        <v>364</v>
      </c>
      <c r="Q61" s="10" t="s">
        <v>365</v>
      </c>
      <c r="R61" s="10" t="s">
        <v>193</v>
      </c>
      <c r="S61" s="10" t="s">
        <v>159</v>
      </c>
      <c r="T61" s="2" t="str">
        <f t="shared" si="6"/>
        <v>5080E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2" spans="1:21" ht="14.4" x14ac:dyDescent="0.3">
      <c r="A62" s="12" t="s">
        <v>353</v>
      </c>
      <c r="B62" s="10" t="s">
        <v>354</v>
      </c>
      <c r="C62" s="97">
        <f>IFERROR((D62*1.5)/1440, "?")</f>
        <v>0.15625</v>
      </c>
      <c r="D62" s="10">
        <v>150</v>
      </c>
      <c r="E62" s="98">
        <f>IFERROR((D62*6),"?")</f>
        <v>900</v>
      </c>
      <c r="F62" s="99"/>
      <c r="G62" s="10" t="s">
        <v>367</v>
      </c>
      <c r="H62" s="100">
        <v>45985</v>
      </c>
      <c r="I62" s="101"/>
      <c r="J62" s="10" t="s">
        <v>363</v>
      </c>
      <c r="K62" s="10" t="s">
        <v>320</v>
      </c>
      <c r="L62" s="10" t="s">
        <v>193</v>
      </c>
      <c r="M62" s="10" t="s">
        <v>154</v>
      </c>
      <c r="N62" s="12" t="s">
        <v>291</v>
      </c>
      <c r="O62" s="10" t="s">
        <v>156</v>
      </c>
      <c r="P62" s="137" t="s">
        <v>364</v>
      </c>
      <c r="Q62" s="10" t="s">
        <v>365</v>
      </c>
      <c r="R62" s="10" t="s">
        <v>193</v>
      </c>
      <c r="S62" s="10" t="s">
        <v>159</v>
      </c>
      <c r="T62" s="2" t="str">
        <f t="shared" si="6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3" spans="1:21" ht="14.4" x14ac:dyDescent="0.3">
      <c r="A63" s="12" t="s">
        <v>353</v>
      </c>
      <c r="B63" s="10" t="s">
        <v>354</v>
      </c>
      <c r="C63" s="97">
        <f>IFERROR((D63*1.5)/1440, "?")</f>
        <v>2.6041666666666668E-2</v>
      </c>
      <c r="D63" s="10">
        <v>25</v>
      </c>
      <c r="E63" s="98">
        <f>IFERROR((D63*6),"?")</f>
        <v>150</v>
      </c>
      <c r="F63" s="99"/>
      <c r="G63" s="10" t="s">
        <v>355</v>
      </c>
      <c r="H63" s="100">
        <v>45985</v>
      </c>
      <c r="I63" s="101"/>
      <c r="J63" s="139" t="s">
        <v>368</v>
      </c>
      <c r="K63" s="10" t="s">
        <v>320</v>
      </c>
      <c r="L63" s="10" t="s">
        <v>193</v>
      </c>
      <c r="M63" s="10" t="s">
        <v>154</v>
      </c>
      <c r="N63" s="12" t="s">
        <v>291</v>
      </c>
      <c r="O63" s="10" t="s">
        <v>156</v>
      </c>
      <c r="P63" s="137" t="s">
        <v>369</v>
      </c>
      <c r="Q63" s="10" t="s">
        <v>370</v>
      </c>
      <c r="R63" s="10" t="s">
        <v>193</v>
      </c>
      <c r="S63" s="10" t="s">
        <v>159</v>
      </c>
      <c r="T63" s="2" t="str">
        <f t="shared" si="6"/>
        <v>7215C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4" spans="1:21" ht="14.4" x14ac:dyDescent="0.3">
      <c r="A64" s="12" t="s">
        <v>353</v>
      </c>
      <c r="B64" s="10" t="s">
        <v>354</v>
      </c>
      <c r="C64" s="97">
        <f>IFERROR((D64*1.5)/1440, "?")</f>
        <v>0.52083333333333337</v>
      </c>
      <c r="D64" s="10">
        <v>500</v>
      </c>
      <c r="E64" s="98">
        <f>IFERROR((D64*10),"?")</f>
        <v>5000</v>
      </c>
      <c r="F64" s="99">
        <v>2200</v>
      </c>
      <c r="G64" s="10" t="s">
        <v>359</v>
      </c>
      <c r="H64" s="100">
        <v>45985</v>
      </c>
      <c r="I64" s="101"/>
      <c r="J64" s="139" t="s">
        <v>368</v>
      </c>
      <c r="K64" s="10" t="s">
        <v>320</v>
      </c>
      <c r="L64" s="10" t="s">
        <v>193</v>
      </c>
      <c r="M64" s="10" t="s">
        <v>154</v>
      </c>
      <c r="N64" s="12" t="s">
        <v>291</v>
      </c>
      <c r="O64" s="10" t="s">
        <v>156</v>
      </c>
      <c r="P64" s="137" t="s">
        <v>369</v>
      </c>
      <c r="Q64" s="10" t="s">
        <v>370</v>
      </c>
      <c r="R64" s="10" t="s">
        <v>193</v>
      </c>
      <c r="S64" s="10" t="s">
        <v>159</v>
      </c>
      <c r="T64" s="2" t="str">
        <f t="shared" si="6"/>
        <v>7230C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65" spans="1:21" ht="14.4" x14ac:dyDescent="0.3">
      <c r="A65" s="12" t="s">
        <v>353</v>
      </c>
      <c r="B65" s="10" t="s">
        <v>354</v>
      </c>
      <c r="C65" s="97">
        <f>IFERROR((D65*1.5)/1440, "?")</f>
        <v>0.20833333333333334</v>
      </c>
      <c r="D65" s="10">
        <v>200</v>
      </c>
      <c r="E65" s="98">
        <f>IFERROR((D65*6),"?")</f>
        <v>1200</v>
      </c>
      <c r="F65" s="99"/>
      <c r="G65" s="10" t="s">
        <v>325</v>
      </c>
      <c r="H65" s="100">
        <v>45985</v>
      </c>
      <c r="I65" s="101"/>
      <c r="J65" s="139" t="s">
        <v>371</v>
      </c>
      <c r="K65" s="10" t="s">
        <v>229</v>
      </c>
      <c r="L65" s="10" t="s">
        <v>154</v>
      </c>
      <c r="M65" s="10" t="s">
        <v>154</v>
      </c>
      <c r="N65" s="12" t="s">
        <v>327</v>
      </c>
      <c r="O65" s="10"/>
      <c r="P65" s="137" t="s">
        <v>328</v>
      </c>
      <c r="Q65" s="10"/>
      <c r="R65" s="10" t="s">
        <v>205</v>
      </c>
      <c r="S65" s="10" t="s">
        <v>159</v>
      </c>
      <c r="T65" s="2" t="str">
        <f t="shared" si="6"/>
        <v>7230C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66" spans="1:21" ht="14.4" x14ac:dyDescent="0.3">
      <c r="A66" s="12" t="s">
        <v>353</v>
      </c>
      <c r="B66" s="10" t="s">
        <v>354</v>
      </c>
      <c r="C66" s="97">
        <f>IFERROR((D66*1.5)/1440, "?")</f>
        <v>0.19479166666666667</v>
      </c>
      <c r="D66" s="10">
        <v>187</v>
      </c>
      <c r="E66" s="98">
        <f>IFERROR((D66*6),"?")</f>
        <v>1122</v>
      </c>
      <c r="F66" s="99"/>
      <c r="G66" s="10" t="s">
        <v>329</v>
      </c>
      <c r="H66" s="100">
        <v>45985</v>
      </c>
      <c r="I66" s="101"/>
      <c r="J66" s="139" t="s">
        <v>371</v>
      </c>
      <c r="K66" s="10" t="s">
        <v>229</v>
      </c>
      <c r="L66" s="10" t="s">
        <v>205</v>
      </c>
      <c r="M66" s="10" t="s">
        <v>154</v>
      </c>
      <c r="N66" s="12" t="s">
        <v>165</v>
      </c>
      <c r="O66" s="10" t="s">
        <v>156</v>
      </c>
      <c r="P66" s="137" t="s">
        <v>328</v>
      </c>
      <c r="Q66" s="10"/>
      <c r="R66" s="10" t="s">
        <v>205</v>
      </c>
      <c r="S66" s="10" t="s">
        <v>330</v>
      </c>
      <c r="T66" s="2" t="str">
        <f t="shared" si="6"/>
        <v>1213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67" spans="1:21" ht="14.4" x14ac:dyDescent="0.3">
      <c r="A67" s="12" t="s">
        <v>353</v>
      </c>
      <c r="B67" s="10" t="s">
        <v>354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362</v>
      </c>
      <c r="H67" s="100">
        <v>45986</v>
      </c>
      <c r="I67" s="101"/>
      <c r="J67" s="139" t="s">
        <v>372</v>
      </c>
      <c r="K67" s="10" t="s">
        <v>320</v>
      </c>
      <c r="L67" s="10" t="s">
        <v>193</v>
      </c>
      <c r="M67" s="10" t="s">
        <v>154</v>
      </c>
      <c r="N67" s="12" t="s">
        <v>291</v>
      </c>
      <c r="O67" s="10" t="s">
        <v>156</v>
      </c>
      <c r="P67" s="137" t="s">
        <v>364</v>
      </c>
      <c r="Q67" s="10" t="s">
        <v>365</v>
      </c>
      <c r="R67" s="10" t="s">
        <v>193</v>
      </c>
      <c r="S67" s="10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8" spans="1:21" ht="14.4" x14ac:dyDescent="0.3">
      <c r="A68" s="12" t="s">
        <v>353</v>
      </c>
      <c r="B68" s="10" t="s">
        <v>354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366</v>
      </c>
      <c r="H68" s="100">
        <v>45986</v>
      </c>
      <c r="I68" s="101"/>
      <c r="J68" s="139" t="s">
        <v>372</v>
      </c>
      <c r="K68" s="10" t="s">
        <v>320</v>
      </c>
      <c r="L68" s="10" t="s">
        <v>193</v>
      </c>
      <c r="M68" s="10" t="s">
        <v>154</v>
      </c>
      <c r="N68" s="12" t="s">
        <v>291</v>
      </c>
      <c r="O68" s="10" t="s">
        <v>156</v>
      </c>
      <c r="P68" s="137" t="s">
        <v>364</v>
      </c>
      <c r="Q68" s="10" t="s">
        <v>365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9" spans="1:21" ht="14.4" x14ac:dyDescent="0.3">
      <c r="A69" s="12" t="s">
        <v>353</v>
      </c>
      <c r="B69" s="10" t="s">
        <v>354</v>
      </c>
      <c r="C69" s="97">
        <f>IFERROR((D69*1.5)/1440, "?")</f>
        <v>0.15625</v>
      </c>
      <c r="D69" s="10">
        <v>150</v>
      </c>
      <c r="E69" s="98">
        <f>IFERROR((D69*6),"?")</f>
        <v>900</v>
      </c>
      <c r="F69" s="99"/>
      <c r="G69" s="10" t="s">
        <v>367</v>
      </c>
      <c r="H69" s="100">
        <v>45986</v>
      </c>
      <c r="I69" s="101"/>
      <c r="J69" s="139" t="s">
        <v>372</v>
      </c>
      <c r="K69" s="10" t="s">
        <v>320</v>
      </c>
      <c r="L69" s="10" t="s">
        <v>193</v>
      </c>
      <c r="M69" s="10" t="s">
        <v>154</v>
      </c>
      <c r="N69" s="12" t="s">
        <v>291</v>
      </c>
      <c r="O69" s="10" t="s">
        <v>156</v>
      </c>
      <c r="P69" s="137" t="s">
        <v>364</v>
      </c>
      <c r="Q69" s="10" t="s">
        <v>365</v>
      </c>
      <c r="R69" s="10" t="s">
        <v>193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0" spans="1:21" ht="14.4" x14ac:dyDescent="0.3">
      <c r="A70" s="12" t="s">
        <v>353</v>
      </c>
      <c r="B70" s="10" t="s">
        <v>354</v>
      </c>
      <c r="C70" s="97">
        <f>IFERROR((D70*1.5)/1440, "?")</f>
        <v>0.14791666666666667</v>
      </c>
      <c r="D70" s="10">
        <v>142</v>
      </c>
      <c r="E70" s="98">
        <f>IFERROR((D70*6),"?")</f>
        <v>852</v>
      </c>
      <c r="F70" s="99"/>
      <c r="G70" s="10" t="s">
        <v>289</v>
      </c>
      <c r="H70" s="100">
        <v>45986</v>
      </c>
      <c r="I70" s="101"/>
      <c r="J70" s="10" t="s">
        <v>373</v>
      </c>
      <c r="K70" s="10" t="s">
        <v>320</v>
      </c>
      <c r="L70" s="10" t="s">
        <v>312</v>
      </c>
      <c r="M70" s="10" t="s">
        <v>154</v>
      </c>
      <c r="N70" s="12" t="s">
        <v>291</v>
      </c>
      <c r="O70" s="10" t="s">
        <v>156</v>
      </c>
      <c r="P70" s="137" t="s">
        <v>374</v>
      </c>
      <c r="Q70" s="10" t="s">
        <v>375</v>
      </c>
      <c r="R70" s="10" t="s">
        <v>312</v>
      </c>
      <c r="S70" s="10" t="s">
        <v>159</v>
      </c>
      <c r="T70" s="2" t="str">
        <f t="shared" si="6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1" ht="14.4" x14ac:dyDescent="0.3">
      <c r="A71" s="12" t="s">
        <v>353</v>
      </c>
      <c r="B71" s="10" t="s">
        <v>354</v>
      </c>
      <c r="C71" s="97">
        <f>IFERROR((D71*1.5)/1440, "?")</f>
        <v>0.14791666666666667</v>
      </c>
      <c r="D71" s="10">
        <v>142</v>
      </c>
      <c r="E71" s="98">
        <f>IFERROR((D71*6),"?")</f>
        <v>852</v>
      </c>
      <c r="F71" s="99"/>
      <c r="G71" s="10" t="s">
        <v>294</v>
      </c>
      <c r="H71" s="100">
        <v>45986</v>
      </c>
      <c r="I71" s="101"/>
      <c r="J71" s="10" t="s">
        <v>373</v>
      </c>
      <c r="K71" s="10" t="s">
        <v>320</v>
      </c>
      <c r="L71" s="10" t="s">
        <v>312</v>
      </c>
      <c r="M71" s="10" t="s">
        <v>154</v>
      </c>
      <c r="N71" s="12" t="s">
        <v>291</v>
      </c>
      <c r="O71" s="10" t="s">
        <v>156</v>
      </c>
      <c r="P71" s="137" t="s">
        <v>374</v>
      </c>
      <c r="Q71" s="10" t="s">
        <v>375</v>
      </c>
      <c r="R71" s="10" t="s">
        <v>312</v>
      </c>
      <c r="S71" s="10" t="s">
        <v>159</v>
      </c>
      <c r="T71" s="2" t="str">
        <f t="shared" si="6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2" spans="1:21" ht="14.4" x14ac:dyDescent="0.3">
      <c r="A72" s="12" t="s">
        <v>353</v>
      </c>
      <c r="B72" s="10" t="s">
        <v>354</v>
      </c>
      <c r="C72" s="97">
        <f>IFERROR((D72*1.5)/1440, "?")</f>
        <v>0.14791666666666667</v>
      </c>
      <c r="D72" s="10">
        <v>142</v>
      </c>
      <c r="E72" s="98">
        <v>200</v>
      </c>
      <c r="F72" s="99"/>
      <c r="G72" s="10" t="s">
        <v>318</v>
      </c>
      <c r="H72" s="100">
        <v>45986</v>
      </c>
      <c r="I72" s="101"/>
      <c r="J72" s="10" t="s">
        <v>376</v>
      </c>
      <c r="K72" s="10" t="s">
        <v>320</v>
      </c>
      <c r="L72" s="10" t="s">
        <v>312</v>
      </c>
      <c r="M72" s="10" t="s">
        <v>154</v>
      </c>
      <c r="N72" s="12" t="s">
        <v>291</v>
      </c>
      <c r="O72" s="10" t="s">
        <v>156</v>
      </c>
      <c r="P72" s="137" t="s">
        <v>374</v>
      </c>
      <c r="Q72" s="10" t="s">
        <v>375</v>
      </c>
      <c r="R72" s="10" t="s">
        <v>312</v>
      </c>
      <c r="S72" s="10" t="s">
        <v>179</v>
      </c>
      <c r="T72" s="2" t="str">
        <f t="shared" si="6"/>
        <v>FA25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3" spans="1:21" ht="14.4" x14ac:dyDescent="0.3">
      <c r="A73" s="12" t="s">
        <v>353</v>
      </c>
      <c r="B73" s="10" t="s">
        <v>354</v>
      </c>
      <c r="C73" s="97">
        <f>IFERROR((D73*1.5)/1440, "?")</f>
        <v>0.14791666666666667</v>
      </c>
      <c r="D73" s="10">
        <v>142</v>
      </c>
      <c r="E73" s="98">
        <v>800</v>
      </c>
      <c r="F73" s="99"/>
      <c r="G73" s="10" t="s">
        <v>323</v>
      </c>
      <c r="H73" s="100">
        <v>45986</v>
      </c>
      <c r="I73" s="101"/>
      <c r="J73" s="10" t="s">
        <v>376</v>
      </c>
      <c r="K73" s="10" t="s">
        <v>320</v>
      </c>
      <c r="L73" s="10" t="s">
        <v>312</v>
      </c>
      <c r="M73" s="10" t="s">
        <v>154</v>
      </c>
      <c r="N73" s="12" t="s">
        <v>291</v>
      </c>
      <c r="O73" s="10" t="s">
        <v>156</v>
      </c>
      <c r="P73" s="137" t="s">
        <v>374</v>
      </c>
      <c r="Q73" s="10" t="s">
        <v>375</v>
      </c>
      <c r="R73" s="10" t="s">
        <v>312</v>
      </c>
      <c r="S73" s="10" t="s">
        <v>182</v>
      </c>
      <c r="T73" s="2" t="str">
        <f t="shared" si="6"/>
        <v>S440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4" spans="1:21" ht="14.4" x14ac:dyDescent="0.3">
      <c r="A74" s="12" t="s">
        <v>353</v>
      </c>
      <c r="B74" s="10" t="s">
        <v>354</v>
      </c>
      <c r="C74" s="97">
        <f>IFERROR((D74*1.5)/1440, "?")</f>
        <v>0.29791666666666666</v>
      </c>
      <c r="D74" s="10">
        <v>286</v>
      </c>
      <c r="E74" s="98">
        <f>IFERROR((D74*6),"?")</f>
        <v>1716</v>
      </c>
      <c r="F74" s="99"/>
      <c r="G74" s="10" t="s">
        <v>289</v>
      </c>
      <c r="H74" s="100">
        <v>45987</v>
      </c>
      <c r="I74" s="101"/>
      <c r="J74" s="10" t="s">
        <v>373</v>
      </c>
      <c r="K74" s="10" t="s">
        <v>320</v>
      </c>
      <c r="L74" s="10" t="s">
        <v>377</v>
      </c>
      <c r="M74" s="10" t="s">
        <v>154</v>
      </c>
      <c r="N74" s="12" t="s">
        <v>291</v>
      </c>
      <c r="O74" s="10" t="s">
        <v>156</v>
      </c>
      <c r="P74" s="137" t="s">
        <v>378</v>
      </c>
      <c r="Q74" s="10" t="s">
        <v>379</v>
      </c>
      <c r="R74" s="10" t="s">
        <v>377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1" ht="14.4" x14ac:dyDescent="0.3">
      <c r="A75" s="12" t="s">
        <v>353</v>
      </c>
      <c r="B75" s="10" t="s">
        <v>354</v>
      </c>
      <c r="C75" s="97">
        <f>IFERROR((D75*1.5)/1440, "?")</f>
        <v>0.29791666666666666</v>
      </c>
      <c r="D75" s="10">
        <v>286</v>
      </c>
      <c r="E75" s="98">
        <f>IFERROR((D75*6),"?")</f>
        <v>1716</v>
      </c>
      <c r="F75" s="99"/>
      <c r="G75" s="10" t="s">
        <v>294</v>
      </c>
      <c r="H75" s="100">
        <v>45987</v>
      </c>
      <c r="I75" s="101"/>
      <c r="J75" s="10" t="s">
        <v>373</v>
      </c>
      <c r="K75" s="10" t="s">
        <v>320</v>
      </c>
      <c r="L75" s="10" t="s">
        <v>377</v>
      </c>
      <c r="M75" s="10" t="s">
        <v>154</v>
      </c>
      <c r="N75" s="12" t="s">
        <v>291</v>
      </c>
      <c r="O75" s="10" t="s">
        <v>156</v>
      </c>
      <c r="P75" s="137" t="s">
        <v>378</v>
      </c>
      <c r="Q75" s="10" t="s">
        <v>379</v>
      </c>
      <c r="R75" s="10" t="s">
        <v>377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6" spans="1:21" ht="14.4" x14ac:dyDescent="0.3">
      <c r="A76" s="12" t="s">
        <v>353</v>
      </c>
      <c r="B76" s="10" t="s">
        <v>354</v>
      </c>
      <c r="C76" s="97">
        <f>IFERROR((D76*1.5)/1440, "?")</f>
        <v>0.29791666666666666</v>
      </c>
      <c r="D76" s="10">
        <v>286</v>
      </c>
      <c r="E76" s="98">
        <v>600</v>
      </c>
      <c r="F76" s="99"/>
      <c r="G76" s="10" t="s">
        <v>318</v>
      </c>
      <c r="H76" s="100">
        <v>45987</v>
      </c>
      <c r="I76" s="101"/>
      <c r="J76" s="10" t="s">
        <v>376</v>
      </c>
      <c r="K76" s="10" t="s">
        <v>320</v>
      </c>
      <c r="L76" s="10" t="s">
        <v>377</v>
      </c>
      <c r="M76" s="10" t="s">
        <v>154</v>
      </c>
      <c r="N76" s="12" t="s">
        <v>291</v>
      </c>
      <c r="O76" s="10" t="s">
        <v>156</v>
      </c>
      <c r="P76" s="137" t="s">
        <v>378</v>
      </c>
      <c r="Q76" s="10" t="s">
        <v>379</v>
      </c>
      <c r="R76" s="10" t="s">
        <v>377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7" spans="1:21" ht="14.4" x14ac:dyDescent="0.3">
      <c r="A77" s="12" t="s">
        <v>353</v>
      </c>
      <c r="B77" s="10" t="s">
        <v>354</v>
      </c>
      <c r="C77" s="97">
        <f>IFERROR((D77*1.5)/1440, "?")</f>
        <v>0.29791666666666666</v>
      </c>
      <c r="D77" s="10">
        <v>286</v>
      </c>
      <c r="E77" s="98">
        <v>1400</v>
      </c>
      <c r="F77" s="99"/>
      <c r="G77" s="10" t="s">
        <v>323</v>
      </c>
      <c r="H77" s="100">
        <v>45987</v>
      </c>
      <c r="I77" s="101"/>
      <c r="J77" s="10" t="s">
        <v>376</v>
      </c>
      <c r="K77" s="10" t="s">
        <v>320</v>
      </c>
      <c r="L77" s="10" t="s">
        <v>377</v>
      </c>
      <c r="M77" s="10" t="s">
        <v>154</v>
      </c>
      <c r="N77" s="12" t="s">
        <v>291</v>
      </c>
      <c r="O77" s="10" t="s">
        <v>156</v>
      </c>
      <c r="P77" s="137" t="s">
        <v>378</v>
      </c>
      <c r="Q77" s="10" t="s">
        <v>379</v>
      </c>
      <c r="R77" s="10" t="s">
        <v>377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8" spans="1:21" ht="14.4" x14ac:dyDescent="0.3">
      <c r="A78" s="12" t="s">
        <v>317</v>
      </c>
      <c r="B78" s="10" t="s">
        <v>209</v>
      </c>
      <c r="C78" s="97">
        <f>IFERROR((D78*1.5)/1440, "?")</f>
        <v>2.8125000000000001E-2</v>
      </c>
      <c r="D78" s="10">
        <v>27</v>
      </c>
      <c r="E78" s="98">
        <v>100</v>
      </c>
      <c r="F78" s="99"/>
      <c r="G78" s="10" t="s">
        <v>318</v>
      </c>
      <c r="H78" s="100">
        <v>45979</v>
      </c>
      <c r="I78" s="101"/>
      <c r="J78" s="10" t="s">
        <v>319</v>
      </c>
      <c r="K78" s="10" t="s">
        <v>320</v>
      </c>
      <c r="L78" s="10" t="s">
        <v>193</v>
      </c>
      <c r="M78" s="10" t="s">
        <v>154</v>
      </c>
      <c r="N78" s="12" t="s">
        <v>291</v>
      </c>
      <c r="O78" s="10" t="s">
        <v>156</v>
      </c>
      <c r="P78" s="137" t="s">
        <v>321</v>
      </c>
      <c r="Q78" s="10" t="s">
        <v>322</v>
      </c>
      <c r="R78" s="10" t="s">
        <v>193</v>
      </c>
      <c r="S78" s="10" t="s">
        <v>179</v>
      </c>
      <c r="T78" s="2" t="str">
        <f t="shared" si="6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79" spans="1:21" ht="14.4" x14ac:dyDescent="0.3">
      <c r="A79" s="12" t="s">
        <v>317</v>
      </c>
      <c r="B79" s="10" t="s">
        <v>209</v>
      </c>
      <c r="C79" s="97">
        <f>IFERROR((D79*1.5)/1440, "?")</f>
        <v>2.8125000000000001E-2</v>
      </c>
      <c r="D79" s="10">
        <v>27</v>
      </c>
      <c r="E79" s="98">
        <v>200</v>
      </c>
      <c r="F79" s="99"/>
      <c r="G79" s="10" t="s">
        <v>323</v>
      </c>
      <c r="H79" s="100">
        <v>45979</v>
      </c>
      <c r="I79" s="101"/>
      <c r="J79" s="10" t="s">
        <v>319</v>
      </c>
      <c r="K79" s="10" t="s">
        <v>320</v>
      </c>
      <c r="L79" s="10" t="s">
        <v>193</v>
      </c>
      <c r="M79" s="10" t="s">
        <v>154</v>
      </c>
      <c r="N79" s="12" t="s">
        <v>291</v>
      </c>
      <c r="O79" s="10" t="s">
        <v>156</v>
      </c>
      <c r="P79" s="137" t="s">
        <v>321</v>
      </c>
      <c r="Q79" s="10" t="s">
        <v>322</v>
      </c>
      <c r="R79" s="10" t="s">
        <v>193</v>
      </c>
      <c r="S79" s="10" t="s">
        <v>182</v>
      </c>
      <c r="T79" s="2" t="str">
        <f t="shared" si="6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0" spans="1:21" ht="14.4" x14ac:dyDescent="0.3">
      <c r="A80" s="12" t="s">
        <v>317</v>
      </c>
      <c r="B80" s="10" t="s">
        <v>209</v>
      </c>
      <c r="C80" s="97">
        <f>IFERROR((D80*1.5)/1440, "?")</f>
        <v>2.8125000000000001E-2</v>
      </c>
      <c r="D80" s="10">
        <v>27</v>
      </c>
      <c r="E80" s="98">
        <v>100</v>
      </c>
      <c r="F80" s="99"/>
      <c r="G80" s="10" t="s">
        <v>318</v>
      </c>
      <c r="H80" s="100">
        <v>45981</v>
      </c>
      <c r="I80" s="101"/>
      <c r="J80" s="139" t="s">
        <v>361</v>
      </c>
      <c r="K80" s="10" t="s">
        <v>320</v>
      </c>
      <c r="L80" s="10" t="s">
        <v>193</v>
      </c>
      <c r="M80" s="10" t="s">
        <v>154</v>
      </c>
      <c r="N80" s="12" t="s">
        <v>291</v>
      </c>
      <c r="O80" s="10" t="s">
        <v>156</v>
      </c>
      <c r="P80" s="137" t="s">
        <v>321</v>
      </c>
      <c r="Q80" s="10" t="s">
        <v>322</v>
      </c>
      <c r="R80" s="10" t="s">
        <v>193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1" spans="1:21" ht="14.4" x14ac:dyDescent="0.3">
      <c r="A81" s="12" t="s">
        <v>317</v>
      </c>
      <c r="B81" s="10" t="s">
        <v>209</v>
      </c>
      <c r="C81" s="97">
        <f>IFERROR((D81*1.5)/1440, "?")</f>
        <v>2.8125000000000001E-2</v>
      </c>
      <c r="D81" s="10">
        <v>27</v>
      </c>
      <c r="E81" s="98">
        <v>200</v>
      </c>
      <c r="F81" s="99"/>
      <c r="G81" s="10" t="s">
        <v>323</v>
      </c>
      <c r="H81" s="100">
        <v>45981</v>
      </c>
      <c r="I81" s="101"/>
      <c r="J81" s="139" t="s">
        <v>361</v>
      </c>
      <c r="K81" s="10" t="s">
        <v>320</v>
      </c>
      <c r="L81" s="10" t="s">
        <v>193</v>
      </c>
      <c r="M81" s="10" t="s">
        <v>154</v>
      </c>
      <c r="N81" s="12" t="s">
        <v>291</v>
      </c>
      <c r="O81" s="10" t="s">
        <v>156</v>
      </c>
      <c r="P81" s="137" t="s">
        <v>321</v>
      </c>
      <c r="Q81" s="10" t="s">
        <v>322</v>
      </c>
      <c r="R81" s="10" t="s">
        <v>193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2" spans="1:21" ht="14.4" x14ac:dyDescent="0.3">
      <c r="A82" s="12" t="s">
        <v>317</v>
      </c>
      <c r="B82" s="10" t="s">
        <v>354</v>
      </c>
      <c r="C82" s="97">
        <f>IFERROR((D82*1.5)/1440, "?")</f>
        <v>0.10729166666666666</v>
      </c>
      <c r="D82" s="10">
        <v>103</v>
      </c>
      <c r="E82" s="98">
        <f>IFERROR((D82*6),"?")</f>
        <v>618</v>
      </c>
      <c r="F82" s="99"/>
      <c r="G82" s="10" t="s">
        <v>380</v>
      </c>
      <c r="H82" s="100">
        <v>45989</v>
      </c>
      <c r="I82" s="101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38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" x14ac:dyDescent="0.3">
      <c r="A83" s="12" t="s">
        <v>317</v>
      </c>
      <c r="B83" s="10" t="s">
        <v>354</v>
      </c>
      <c r="C83" s="97">
        <f>IFERROR((D83*1.5)/1440, "?")</f>
        <v>0.10729166666666666</v>
      </c>
      <c r="D83" s="10">
        <v>103</v>
      </c>
      <c r="E83" s="98">
        <f>IFERROR((D83*6),"?")</f>
        <v>618</v>
      </c>
      <c r="F83" s="99"/>
      <c r="G83" s="10" t="s">
        <v>384</v>
      </c>
      <c r="H83" s="100">
        <v>45989</v>
      </c>
      <c r="I83" s="101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38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" x14ac:dyDescent="0.3">
      <c r="A84" s="12" t="s">
        <v>317</v>
      </c>
      <c r="B84" s="10" t="s">
        <v>354</v>
      </c>
      <c r="C84" s="97">
        <f>IFERROR((D84*1.5)/1440, "?")</f>
        <v>0.14583333333333334</v>
      </c>
      <c r="D84" s="10">
        <v>140</v>
      </c>
      <c r="E84" s="98">
        <v>200</v>
      </c>
      <c r="F84" s="99"/>
      <c r="G84" s="10" t="s">
        <v>386</v>
      </c>
      <c r="H84" s="100">
        <v>45989</v>
      </c>
      <c r="I84" s="101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38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" x14ac:dyDescent="0.3">
      <c r="A85" s="12" t="s">
        <v>317</v>
      </c>
      <c r="B85" s="10" t="s">
        <v>354</v>
      </c>
      <c r="C85" s="97">
        <f>IFERROR((D85*1.5)/1440, "?")</f>
        <v>0.14583333333333334</v>
      </c>
      <c r="D85" s="10">
        <v>140</v>
      </c>
      <c r="E85" s="98">
        <v>800</v>
      </c>
      <c r="F85" s="99"/>
      <c r="G85" s="10" t="s">
        <v>390</v>
      </c>
      <c r="H85" s="100">
        <v>45989</v>
      </c>
      <c r="I85" s="101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38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72" priority="1">
      <formula>$A2="EM ROTA (D)"</formula>
    </cfRule>
    <cfRule type="expression" dxfId="71" priority="2">
      <formula>$A2="CONCLUIDO"</formula>
    </cfRule>
    <cfRule type="expression" dxfId="70" priority="3">
      <formula>MID(TRIM($A2), LEN(TRIM($A2))-2, 3)="(D)"</formula>
    </cfRule>
    <cfRule type="expression" dxfId="69" priority="4">
      <formula>AND(INT($H2)=TODAY()+1, COUNTIF($A2:$A2,"CONCLUIDO*")+COUNTIF($A2:$A2,"CONCLUÍDO*")=0)</formula>
    </cfRule>
    <cfRule type="expression" dxfId="68" priority="5">
      <formula>AND(INT($H2)=TODAY(), COUNTIF($A2:$A2,"CONCLUIDO*")+COUNTIF($A2:$A2,"CONCLUÍDO*")=0)</formula>
    </cfRule>
    <cfRule type="expression" dxfId="67" priority="6">
      <formula>$A2="RECEBIDO"</formula>
    </cfRule>
    <cfRule type="expression" dxfId="66" priority="7">
      <formula>$A2="EM ROTA"</formula>
    </cfRule>
    <cfRule type="expression" dxfId="65" priority="8">
      <formula>$A2="RECEBIDO (D)"</formula>
    </cfRule>
    <cfRule type="expression" dxfId="64" priority="10">
      <formula>$A2="SUSPENSO"</formula>
    </cfRule>
    <cfRule type="expression" dxfId="63" priority="11">
      <formula>$A2="PROGRAMADO (D)"</formula>
    </cfRule>
    <cfRule type="expression" dxfId="62" priority="12">
      <formula>$A2="PROGRAMADO"</formula>
    </cfRule>
    <cfRule type="expression" dxfId="61" priority="13">
      <formula>$A2="CONCLUIDO (D)"</formula>
    </cfRule>
    <cfRule type="expression" dxfId="60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38" r:id="rId1" xr:uid="{75EA1572-4E70-4368-9024-D36A5031CF77}"/>
    <hyperlink ref="P37" r:id="rId2" xr:uid="{435849A8-839C-43A0-9267-3B1454FD6773}"/>
    <hyperlink ref="P18" r:id="rId3" xr:uid="{A6333FCA-E19F-43A3-950F-A308342CB5DD}"/>
    <hyperlink ref="O28" r:id="rId4" xr:uid="{C0918EF2-2671-4F78-B591-20D1DC456C4E}"/>
    <hyperlink ref="P29" r:id="rId5" xr:uid="{D5B5386C-AFCF-405F-B3F3-459AA642F2A9}"/>
    <hyperlink ref="P16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4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27" r:id="rId15" xr:uid="{06E51068-1537-48EF-B6D2-AD368A045A4F}"/>
    <hyperlink ref="P9" r:id="rId16" xr:uid="{A0D7B831-1C98-4BAC-9B96-2E3DDA12CAD6}"/>
    <hyperlink ref="O33" r:id="rId17" xr:uid="{58E18D77-BC8C-4AAA-8C5B-D8D816C5597D}"/>
    <hyperlink ref="O53" r:id="rId18" xr:uid="{49E32A6B-1D53-44FA-A63E-AE7ED51C6BB4}"/>
    <hyperlink ref="O52" r:id="rId19" xr:uid="{A563442D-4636-4B28-AF55-E73353D5A8FF}"/>
    <hyperlink ref="P45" r:id="rId20" xr:uid="{DDBBA29C-7E12-4A7F-B1BD-729F97F36EC0}"/>
    <hyperlink ref="P32" r:id="rId21" xr:uid="{69A0E6A3-CB05-4831-88C8-C264BA5A02A4}"/>
    <hyperlink ref="P31" r:id="rId22" xr:uid="{EA0E728B-082A-4496-941D-57DBFD0CF285}"/>
    <hyperlink ref="P34" r:id="rId23" xr:uid="{4C03A0CE-188D-4B68-9A99-91D9CEAF9E18}"/>
    <hyperlink ref="P42" r:id="rId24" xr:uid="{13EDB386-4E0E-4D1A-BCA6-19F27986D489}"/>
    <hyperlink ref="P41" r:id="rId25" xr:uid="{34B9268E-7F86-4722-B0B6-B35B9B9B3993}"/>
    <hyperlink ref="P39" r:id="rId26" xr:uid="{3FE4D758-9688-4B06-AA49-8C53988C80C6}"/>
    <hyperlink ref="P40" r:id="rId27" xr:uid="{016F82C3-CFE1-44B2-98E2-0C724A7F1702}"/>
    <hyperlink ref="P49" r:id="rId28" xr:uid="{9C1805EF-7356-427A-9CA4-1FF7694899C4}"/>
    <hyperlink ref="P48" r:id="rId29" xr:uid="{9FC39184-978C-43D1-A98E-8E82D9F098F0}"/>
    <hyperlink ref="P51" r:id="rId30" xr:uid="{70D4D829-DA8C-40E6-BD6E-B7282DF4A657}"/>
    <hyperlink ref="P79" r:id="rId31" xr:uid="{96286438-362B-40DD-B9A3-7A3553982567}"/>
    <hyperlink ref="P78" r:id="rId32" xr:uid="{965E07E1-48EF-4AF2-99AC-86613E3A391B}"/>
    <hyperlink ref="P58" r:id="rId33" xr:uid="{7939B7CF-4BAE-41E7-894E-4BF1E1C84D25}"/>
    <hyperlink ref="P57" r:id="rId34" xr:uid="{C440054D-D2F0-4CAA-A620-C4D3B3E9D0B6}"/>
    <hyperlink ref="P56" r:id="rId35" xr:uid="{29E21E59-DC81-4DC3-AF06-F8EC99091C7C}"/>
    <hyperlink ref="P64" r:id="rId36" xr:uid="{AFD9AB9F-C81B-4BD1-A40B-01457D02EE0F}"/>
    <hyperlink ref="P63" r:id="rId37" xr:uid="{6B8816EA-1A07-4859-B5B3-5FC01F9DC124}"/>
    <hyperlink ref="P60" r:id="rId38" xr:uid="{A9AA373C-FC1A-40E9-A8D8-5BFCCBF6916F}"/>
    <hyperlink ref="P61" r:id="rId39" xr:uid="{FA978F4C-E7D2-4FD1-B8B6-C3972C68FEE9}"/>
    <hyperlink ref="P62" r:id="rId40" xr:uid="{B6529B0B-AEB3-4E9D-8BEC-03865EA6C14C}"/>
    <hyperlink ref="P73" r:id="rId41" xr:uid="{515BDF3D-BAB1-4FFA-968A-8936C709C958}"/>
    <hyperlink ref="P72" r:id="rId42" xr:uid="{51C4937D-DAC7-4274-8C14-92EA30D60D1D}"/>
    <hyperlink ref="P70" r:id="rId43" xr:uid="{43BCC242-78E4-41A7-B235-8863F0D146FA}"/>
    <hyperlink ref="P71" r:id="rId44" xr:uid="{F2E26CDA-9FC4-476C-976B-0620D5373FD4}"/>
    <hyperlink ref="P77" r:id="rId45" xr:uid="{521D8005-3A9F-489A-9682-67A1E649258D}"/>
    <hyperlink ref="P76" r:id="rId46" xr:uid="{E72D2001-A5E3-4F6D-B789-D6365834A689}"/>
    <hyperlink ref="P74" r:id="rId47" xr:uid="{79D35B82-0198-4B1A-B23B-4DB30E39C1EA}"/>
    <hyperlink ref="P75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47" r:id="rId54" xr:uid="{80FCD3D6-886A-4753-BD5E-76BF381F09DD}"/>
    <hyperlink ref="P55" r:id="rId55" xr:uid="{35C8F299-0431-4154-BA8E-D57684DD5AFF}"/>
    <hyperlink ref="P54" r:id="rId56" xr:uid="{039A2838-E872-4E04-BD73-2D02C60901F5}"/>
    <hyperlink ref="P43" r:id="rId57" xr:uid="{10916CED-24C0-44F1-BF83-3DF6225C255A}"/>
    <hyperlink ref="P44" r:id="rId58" xr:uid="{185DC344-E77D-4E79-9F13-4A4114AD973A}"/>
    <hyperlink ref="P65" r:id="rId59" xr:uid="{33F6CDA7-9184-4782-9824-A8A77009C9F3}"/>
    <hyperlink ref="P66" r:id="rId60" xr:uid="{BE1605CF-AD15-42C6-B239-3BD3AF93EC89}"/>
    <hyperlink ref="P81" r:id="rId61" xr:uid="{1056D27C-1444-4F67-A121-2D2CA6A60DA2}"/>
    <hyperlink ref="P80" r:id="rId62" xr:uid="{D53B5274-746C-4E81-B69A-A8E1B371242C}"/>
    <hyperlink ref="P67" r:id="rId63" xr:uid="{97D22250-76AA-4A54-98A4-33B9943F85B5}"/>
    <hyperlink ref="P68" r:id="rId64" xr:uid="{EB6F1AD3-7CE1-4326-A2DF-19596935B0AF}"/>
    <hyperlink ref="P69" r:id="rId65" xr:uid="{98603C66-FEE4-4179-ADAB-C560D329E03F}"/>
    <hyperlink ref="P59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64" activePane="bottomLeft" state="frozen"/>
      <selection pane="bottomLeft" activeCell="L84" sqref="L84"/>
    </sheetView>
  </sheetViews>
  <sheetFormatPr defaultColWidth="0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72" bestFit="1" customWidth="1"/>
    <col min="5" max="5" width="10.88671875" style="1" bestFit="1" customWidth="1"/>
    <col min="6" max="6" width="28.6640625" style="15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7.5546875" style="1" hidden="1" customWidth="1"/>
    <col min="14" max="14" width="22.6640625" style="1" hidden="1" customWidth="1"/>
    <col min="15" max="16384" width="8.88671875" style="1" hidden="1"/>
  </cols>
  <sheetData>
    <row r="1" spans="1:12" ht="14.4" x14ac:dyDescent="0.3">
      <c r="A1" s="4" t="s">
        <v>142</v>
      </c>
      <c r="B1" s="1" t="s">
        <v>391</v>
      </c>
      <c r="C1" s="16" t="s">
        <v>392</v>
      </c>
      <c r="D1" s="72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0" t="s">
        <v>400</v>
      </c>
      <c r="L1" s="15" t="s">
        <v>401</v>
      </c>
    </row>
    <row r="2" spans="1:12" ht="14.4" x14ac:dyDescent="0.3">
      <c r="A2" s="4" t="s">
        <v>402</v>
      </c>
      <c r="B2" s="1" t="s">
        <v>205</v>
      </c>
      <c r="C2" s="16">
        <v>45974</v>
      </c>
      <c r="D2" s="72" t="s">
        <v>403</v>
      </c>
      <c r="E2" s="1" t="str">
        <f>_xlfn.XLOOKUP(F2,UTIL!Q:Q,UTIL!N:N,"-")</f>
        <v>019320206</v>
      </c>
      <c r="F2" s="15" t="s">
        <v>404</v>
      </c>
      <c r="G2" s="14">
        <v>1000</v>
      </c>
      <c r="H2" s="4" t="s">
        <v>405</v>
      </c>
      <c r="K2" s="71" t="s">
        <v>406</v>
      </c>
      <c r="L2" s="15" t="str">
        <f t="shared" ref="L2:L33" si="0">TEXT($C2,"dd.mm") &amp; " -Ped " &amp; D2 &amp; " -" &amp; F2 &amp; " -R$" &amp; G2 &amp; IF(LEN(TRIM(I2))=0, "", " -NF " &amp; TRIM(I2))</f>
        <v>13.11 -Ped 047572 -AGROMAQ -TR MAQ -R$1000</v>
      </c>
    </row>
    <row r="3" spans="1:12" ht="14.4" x14ac:dyDescent="0.3">
      <c r="A3" s="4" t="s">
        <v>407</v>
      </c>
      <c r="B3" s="1" t="s">
        <v>205</v>
      </c>
      <c r="C3" s="16">
        <v>45975</v>
      </c>
      <c r="D3" s="72" t="s">
        <v>408</v>
      </c>
      <c r="E3" s="1" t="str">
        <f>_xlfn.XLOOKUP(F3,UTIL!Q:Q,UTIL!N:N,"-")</f>
        <v>019320206</v>
      </c>
      <c r="F3" s="15" t="s">
        <v>404</v>
      </c>
      <c r="G3" s="14">
        <v>300</v>
      </c>
      <c r="H3" s="4" t="s">
        <v>405</v>
      </c>
      <c r="K3" s="71"/>
      <c r="L3" s="15" t="str">
        <f t="shared" si="0"/>
        <v>14.11 -Ped 047752 -AGROMAQ -TR MAQ -R$300</v>
      </c>
    </row>
    <row r="4" spans="1:12" ht="14.4" x14ac:dyDescent="0.3">
      <c r="A4" s="4" t="s">
        <v>407</v>
      </c>
      <c r="B4" s="1" t="s">
        <v>205</v>
      </c>
      <c r="C4" s="16">
        <v>45975</v>
      </c>
      <c r="D4" s="72" t="s">
        <v>408</v>
      </c>
      <c r="E4" s="1" t="str">
        <f>_xlfn.XLOOKUP(F4,UTIL!Q:Q,UTIL!N:N,"-")</f>
        <v>019320206</v>
      </c>
      <c r="F4" s="15" t="s">
        <v>404</v>
      </c>
      <c r="G4" s="14">
        <v>300</v>
      </c>
      <c r="H4" s="4" t="s">
        <v>405</v>
      </c>
      <c r="K4" s="71"/>
      <c r="L4" s="15" t="str">
        <f t="shared" si="0"/>
        <v>14.11 -Ped 047752 -AGROMAQ -TR MAQ -R$300</v>
      </c>
    </row>
    <row r="5" spans="1:12" ht="14.4" x14ac:dyDescent="0.3">
      <c r="A5" s="4" t="s">
        <v>409</v>
      </c>
      <c r="B5" s="1" t="s">
        <v>205</v>
      </c>
      <c r="C5" s="16">
        <v>45975</v>
      </c>
      <c r="D5" s="72" t="s">
        <v>408</v>
      </c>
      <c r="E5" s="1" t="str">
        <f>_xlfn.XLOOKUP(F5,UTIL!Q:Q,UTIL!N:N,"-")</f>
        <v>019320206</v>
      </c>
      <c r="F5" s="15" t="s">
        <v>404</v>
      </c>
      <c r="G5" s="14">
        <v>800</v>
      </c>
      <c r="H5" s="4" t="s">
        <v>405</v>
      </c>
      <c r="K5" s="71"/>
      <c r="L5" s="15" t="str">
        <f t="shared" si="0"/>
        <v>14.11 -Ped 047752 -AGROMAQ -TR MAQ -R$800</v>
      </c>
    </row>
    <row r="6" spans="1:12" ht="14.4" x14ac:dyDescent="0.3">
      <c r="A6" s="4" t="s">
        <v>409</v>
      </c>
      <c r="B6" s="1" t="s">
        <v>205</v>
      </c>
      <c r="C6" s="16">
        <v>45975</v>
      </c>
      <c r="D6" s="72" t="s">
        <v>408</v>
      </c>
      <c r="E6" s="1" t="str">
        <f>_xlfn.XLOOKUP(F6,UTIL!Q:Q,UTIL!N:N,"-")</f>
        <v>019320206</v>
      </c>
      <c r="F6" s="15" t="s">
        <v>404</v>
      </c>
      <c r="G6" s="14">
        <v>800</v>
      </c>
      <c r="H6" s="4" t="s">
        <v>405</v>
      </c>
      <c r="K6" s="71"/>
      <c r="L6" s="15" t="str">
        <f t="shared" si="0"/>
        <v>14.11 -Ped 047752 -AGROMAQ -TR MAQ -R$800</v>
      </c>
    </row>
    <row r="7" spans="1:12" ht="14.4" x14ac:dyDescent="0.3">
      <c r="A7" s="4" t="s">
        <v>410</v>
      </c>
      <c r="B7" s="1" t="s">
        <v>205</v>
      </c>
      <c r="C7" s="16">
        <v>45975</v>
      </c>
      <c r="D7" s="72" t="s">
        <v>408</v>
      </c>
      <c r="E7" s="1" t="str">
        <f>_xlfn.XLOOKUP(F7,UTIL!Q:Q,UTIL!N:N,"-")</f>
        <v>019320206</v>
      </c>
      <c r="F7" s="15" t="s">
        <v>404</v>
      </c>
      <c r="G7" s="14">
        <v>400</v>
      </c>
      <c r="H7" s="4" t="s">
        <v>405</v>
      </c>
      <c r="K7" s="71"/>
      <c r="L7" s="15" t="str">
        <f t="shared" si="0"/>
        <v>14.11 -Ped 047752 -AGROMAQ -TR MAQ -R$400</v>
      </c>
    </row>
    <row r="8" spans="1:12" ht="14.4" x14ac:dyDescent="0.3">
      <c r="A8" s="4" t="s">
        <v>410</v>
      </c>
      <c r="B8" s="1" t="s">
        <v>205</v>
      </c>
      <c r="C8" s="16">
        <v>45975</v>
      </c>
      <c r="D8" s="72" t="s">
        <v>408</v>
      </c>
      <c r="E8" s="1" t="str">
        <f>_xlfn.XLOOKUP(F8,UTIL!Q:Q,UTIL!N:N,"-")</f>
        <v>019320206</v>
      </c>
      <c r="F8" s="15" t="s">
        <v>404</v>
      </c>
      <c r="G8" s="14">
        <v>400</v>
      </c>
      <c r="H8" s="4" t="s">
        <v>405</v>
      </c>
      <c r="K8" s="71"/>
      <c r="L8" s="15" t="str">
        <f t="shared" si="0"/>
        <v>14.11 -Ped 047752 -AGROMAQ -TR MAQ -R$400</v>
      </c>
    </row>
    <row r="9" spans="1:12" ht="14.4" x14ac:dyDescent="0.3">
      <c r="A9" s="4" t="s">
        <v>411</v>
      </c>
      <c r="B9" s="1" t="s">
        <v>412</v>
      </c>
      <c r="C9" s="16">
        <v>45967</v>
      </c>
      <c r="D9" s="72" t="s">
        <v>413</v>
      </c>
      <c r="E9" s="1" t="str">
        <f>_xlfn.XLOOKUP(F9,UTIL!Q:Q,UTIL!N:N,"-")</f>
        <v>050435638</v>
      </c>
      <c r="F9" s="15" t="s">
        <v>414</v>
      </c>
      <c r="G9" s="14">
        <v>500</v>
      </c>
      <c r="H9" s="4" t="s">
        <v>405</v>
      </c>
      <c r="I9" s="15">
        <v>1412</v>
      </c>
      <c r="J9" s="16">
        <v>45973</v>
      </c>
      <c r="K9" s="71" t="s">
        <v>415</v>
      </c>
      <c r="L9" s="15" t="str">
        <f t="shared" si="0"/>
        <v>06.11 -Ped 047553 -ANDREANI - MT -R$500 -NF 1412</v>
      </c>
    </row>
    <row r="10" spans="1:12" ht="14.4" x14ac:dyDescent="0.3">
      <c r="A10" s="4" t="s">
        <v>411</v>
      </c>
      <c r="B10" s="1" t="s">
        <v>412</v>
      </c>
      <c r="C10" s="16">
        <v>45967</v>
      </c>
      <c r="D10" s="72" t="s">
        <v>413</v>
      </c>
      <c r="E10" s="1" t="str">
        <f>_xlfn.XLOOKUP(F10,UTIL!Q:Q,UTIL!N:N,"-")</f>
        <v>050435638</v>
      </c>
      <c r="F10" s="15" t="s">
        <v>414</v>
      </c>
      <c r="G10" s="14">
        <v>397</v>
      </c>
      <c r="H10" s="4" t="s">
        <v>405</v>
      </c>
      <c r="I10" s="15">
        <v>189</v>
      </c>
      <c r="J10" s="16">
        <v>45973</v>
      </c>
      <c r="K10" s="71" t="s">
        <v>416</v>
      </c>
      <c r="L10" s="15" t="str">
        <f t="shared" si="0"/>
        <v>06.11 -Ped 047553 -ANDREANI - MT -R$397 -NF 189</v>
      </c>
    </row>
    <row r="11" spans="1:12" ht="14.4" x14ac:dyDescent="0.3">
      <c r="A11" s="4" t="s">
        <v>417</v>
      </c>
      <c r="B11" s="1" t="s">
        <v>377</v>
      </c>
      <c r="C11" s="16">
        <v>45964</v>
      </c>
      <c r="D11" s="1" t="s">
        <v>418</v>
      </c>
      <c r="E11" s="1" t="str">
        <f>_xlfn.XLOOKUP(F11,UTIL!Q:Q,UTIL!N:N,"-")</f>
        <v>061196032</v>
      </c>
      <c r="F11" s="15" t="s">
        <v>419</v>
      </c>
      <c r="G11" s="14">
        <v>200</v>
      </c>
      <c r="H11" s="4" t="s">
        <v>405</v>
      </c>
      <c r="I11" s="15">
        <v>48</v>
      </c>
      <c r="J11" s="16">
        <v>45966</v>
      </c>
      <c r="K11" s="71"/>
      <c r="L11" s="15" t="str">
        <f t="shared" si="0"/>
        <v>03.11 -Ped 047258 -ANDREIA R. COURIER -R$200 -NF 48</v>
      </c>
    </row>
    <row r="12" spans="1:12" ht="14.4" x14ac:dyDescent="0.3">
      <c r="A12" s="4" t="s">
        <v>417</v>
      </c>
      <c r="B12" s="1" t="s">
        <v>377</v>
      </c>
      <c r="C12" s="16">
        <v>45965</v>
      </c>
      <c r="D12" s="1" t="s">
        <v>420</v>
      </c>
      <c r="E12" s="1" t="str">
        <f>_xlfn.XLOOKUP(F12,UTIL!Q:Q,UTIL!N:N,"-")</f>
        <v>061196032</v>
      </c>
      <c r="F12" s="15" t="s">
        <v>419</v>
      </c>
      <c r="G12" s="14">
        <v>80</v>
      </c>
      <c r="H12" s="4" t="s">
        <v>405</v>
      </c>
      <c r="I12" s="15">
        <v>51</v>
      </c>
      <c r="J12" s="16">
        <v>45971</v>
      </c>
      <c r="K12" s="71"/>
      <c r="L12" s="15" t="str">
        <f t="shared" si="0"/>
        <v>04.11 -Ped 047437 -ANDREIA R. COURIER -R$80 -NF 51</v>
      </c>
    </row>
    <row r="13" spans="1:12" ht="14.4" x14ac:dyDescent="0.3">
      <c r="A13" s="4" t="s">
        <v>417</v>
      </c>
      <c r="B13" s="1" t="s">
        <v>377</v>
      </c>
      <c r="C13" s="16">
        <v>45964</v>
      </c>
      <c r="D13" s="1" t="s">
        <v>421</v>
      </c>
      <c r="E13" s="1" t="str">
        <f>_xlfn.XLOOKUP(F13,UTIL!Q:Q,UTIL!N:N,"-")</f>
        <v>061196032</v>
      </c>
      <c r="F13" s="15" t="s">
        <v>419</v>
      </c>
      <c r="G13" s="14">
        <v>200</v>
      </c>
      <c r="H13" s="4" t="s">
        <v>405</v>
      </c>
      <c r="I13" s="15" t="s">
        <v>422</v>
      </c>
      <c r="J13" s="16">
        <v>45972</v>
      </c>
      <c r="K13" s="71"/>
      <c r="L13" s="15" t="str">
        <f t="shared" si="0"/>
        <v>03.11 -Ped 047267 -ANDREIA R. COURIER -R$200 -NF FIN</v>
      </c>
    </row>
    <row r="14" spans="1:12" ht="14.4" x14ac:dyDescent="0.3">
      <c r="A14" s="4" t="s">
        <v>417</v>
      </c>
      <c r="B14" s="1" t="s">
        <v>377</v>
      </c>
      <c r="C14" s="16">
        <v>45973</v>
      </c>
      <c r="D14" s="72" t="s">
        <v>423</v>
      </c>
      <c r="E14" s="1" t="str">
        <f>_xlfn.XLOOKUP(F14,UTIL!Q:Q,UTIL!N:N,"-")</f>
        <v>061196032</v>
      </c>
      <c r="F14" s="15" t="s">
        <v>419</v>
      </c>
      <c r="G14" s="14">
        <v>70</v>
      </c>
      <c r="H14" s="4" t="s">
        <v>405</v>
      </c>
      <c r="I14" s="15">
        <v>54</v>
      </c>
      <c r="J14" s="16">
        <v>45975</v>
      </c>
      <c r="K14" s="71" t="s">
        <v>424</v>
      </c>
      <c r="L14" s="15" t="str">
        <f t="shared" si="0"/>
        <v>12.11 -Ped 047687 -ANDREIA R. COURIER -R$70 -NF 54</v>
      </c>
    </row>
    <row r="15" spans="1:12" ht="14.4" x14ac:dyDescent="0.3">
      <c r="A15" s="4" t="s">
        <v>425</v>
      </c>
      <c r="B15" s="1" t="s">
        <v>412</v>
      </c>
      <c r="C15" s="16">
        <v>45971</v>
      </c>
      <c r="D15" s="72" t="s">
        <v>426</v>
      </c>
      <c r="E15" s="1" t="str">
        <f>_xlfn.XLOOKUP(F15,UTIL!Q:Q,UTIL!N:N,"-")</f>
        <v>056953013</v>
      </c>
      <c r="F15" s="15" t="s">
        <v>427</v>
      </c>
      <c r="G15" s="14">
        <v>884.29</v>
      </c>
      <c r="H15" s="4" t="s">
        <v>405</v>
      </c>
      <c r="I15" s="15">
        <v>775</v>
      </c>
      <c r="J15" s="16">
        <v>45975</v>
      </c>
      <c r="K15" s="71" t="s">
        <v>428</v>
      </c>
      <c r="L15" s="15" t="str">
        <f t="shared" si="0"/>
        <v>10.11 -Ped 047757 -CARGADEDICADA -TR PEÇA -R$884,29 -NF 775</v>
      </c>
    </row>
    <row r="16" spans="1:12" ht="14.4" x14ac:dyDescent="0.3">
      <c r="A16" s="4" t="s">
        <v>425</v>
      </c>
      <c r="B16" s="1" t="s">
        <v>412</v>
      </c>
      <c r="C16" s="16">
        <v>45971</v>
      </c>
      <c r="D16" s="72" t="s">
        <v>426</v>
      </c>
      <c r="E16" s="1" t="str">
        <f>_xlfn.XLOOKUP(F16,UTIL!Q:Q,UTIL!N:N,"-")</f>
        <v>056953013</v>
      </c>
      <c r="F16" s="15" t="s">
        <v>427</v>
      </c>
      <c r="G16" s="14">
        <v>884.29</v>
      </c>
      <c r="H16" s="4" t="s">
        <v>405</v>
      </c>
      <c r="I16" s="15">
        <v>776</v>
      </c>
      <c r="J16" s="16">
        <v>45975</v>
      </c>
      <c r="K16" s="71" t="s">
        <v>428</v>
      </c>
      <c r="L16" s="15" t="str">
        <f t="shared" si="0"/>
        <v>10.11 -Ped 047757 -CARGADEDICADA -TR PEÇA -R$884,29 -NF 776</v>
      </c>
    </row>
    <row r="17" spans="1:12" ht="14.4" x14ac:dyDescent="0.3">
      <c r="A17" s="4" t="s">
        <v>425</v>
      </c>
      <c r="B17" s="1" t="s">
        <v>412</v>
      </c>
      <c r="C17" s="16">
        <v>45971</v>
      </c>
      <c r="D17" s="72" t="s">
        <v>426</v>
      </c>
      <c r="E17" s="1" t="str">
        <f>_xlfn.XLOOKUP(F17,UTIL!Q:Q,UTIL!N:N,"-")</f>
        <v>056953013</v>
      </c>
      <c r="F17" s="15" t="s">
        <v>427</v>
      </c>
      <c r="G17" s="14">
        <v>884.29</v>
      </c>
      <c r="H17" s="4" t="s">
        <v>405</v>
      </c>
      <c r="I17" s="15">
        <v>777</v>
      </c>
      <c r="J17" s="16">
        <v>45975</v>
      </c>
      <c r="K17" s="71" t="s">
        <v>428</v>
      </c>
      <c r="L17" s="15" t="str">
        <f t="shared" si="0"/>
        <v>10.11 -Ped 047757 -CARGADEDICADA -TR PEÇA -R$884,29 -NF 777</v>
      </c>
    </row>
    <row r="18" spans="1:12" ht="14.4" x14ac:dyDescent="0.3">
      <c r="A18" s="4" t="s">
        <v>425</v>
      </c>
      <c r="B18" s="1" t="s">
        <v>412</v>
      </c>
      <c r="C18" s="16">
        <v>45971</v>
      </c>
      <c r="D18" s="72" t="s">
        <v>426</v>
      </c>
      <c r="E18" s="1" t="str">
        <f>_xlfn.XLOOKUP(F18,UTIL!Q:Q,UTIL!N:N,"-")</f>
        <v>056953013</v>
      </c>
      <c r="F18" s="15" t="s">
        <v>427</v>
      </c>
      <c r="G18" s="14">
        <v>884.29</v>
      </c>
      <c r="H18" s="4" t="s">
        <v>405</v>
      </c>
      <c r="I18" s="15">
        <v>778</v>
      </c>
      <c r="J18" s="16">
        <v>45975</v>
      </c>
      <c r="K18" s="71" t="s">
        <v>428</v>
      </c>
      <c r="L18" s="15" t="str">
        <f t="shared" si="0"/>
        <v>10.11 -Ped 047757 -CARGADEDICADA -TR PEÇA -R$884,29 -NF 778</v>
      </c>
    </row>
    <row r="19" spans="1:12" ht="14.4" x14ac:dyDescent="0.3">
      <c r="A19" s="4" t="s">
        <v>425</v>
      </c>
      <c r="B19" s="1" t="s">
        <v>412</v>
      </c>
      <c r="C19" s="16">
        <v>45971</v>
      </c>
      <c r="D19" s="72" t="s">
        <v>426</v>
      </c>
      <c r="E19" s="1" t="str">
        <f>_xlfn.XLOOKUP(F19,UTIL!Q:Q,UTIL!N:N,"-")</f>
        <v>056953013</v>
      </c>
      <c r="F19" s="15" t="s">
        <v>427</v>
      </c>
      <c r="G19" s="14">
        <v>884.29</v>
      </c>
      <c r="H19" s="4" t="s">
        <v>405</v>
      </c>
      <c r="I19" s="15">
        <v>779</v>
      </c>
      <c r="J19" s="16">
        <v>45975</v>
      </c>
      <c r="K19" s="71" t="s">
        <v>428</v>
      </c>
      <c r="L19" s="15" t="str">
        <f t="shared" si="0"/>
        <v>10.11 -Ped 047757 -CARGADEDICADA -TR PEÇA -R$884,29 -NF 779</v>
      </c>
    </row>
    <row r="20" spans="1:12" ht="14.4" x14ac:dyDescent="0.3">
      <c r="A20" s="4" t="s">
        <v>425</v>
      </c>
      <c r="B20" s="1" t="s">
        <v>412</v>
      </c>
      <c r="C20" s="16">
        <v>45971</v>
      </c>
      <c r="D20" s="72" t="s">
        <v>426</v>
      </c>
      <c r="E20" s="1" t="str">
        <f>_xlfn.XLOOKUP(F20,UTIL!Q:Q,UTIL!N:N,"-")</f>
        <v>056953013</v>
      </c>
      <c r="F20" s="15" t="s">
        <v>427</v>
      </c>
      <c r="G20" s="14">
        <v>884.29</v>
      </c>
      <c r="H20" s="4" t="s">
        <v>405</v>
      </c>
      <c r="I20" s="15">
        <v>781</v>
      </c>
      <c r="J20" s="16">
        <v>45975</v>
      </c>
      <c r="K20" s="71" t="s">
        <v>428</v>
      </c>
      <c r="L20" s="15" t="str">
        <f t="shared" si="0"/>
        <v>10.11 -Ped 047757 -CARGADEDICADA -TR PEÇA -R$884,29 -NF 781</v>
      </c>
    </row>
    <row r="21" spans="1:12" ht="14.4" x14ac:dyDescent="0.3">
      <c r="A21" s="4" t="s">
        <v>425</v>
      </c>
      <c r="B21" s="1" t="s">
        <v>412</v>
      </c>
      <c r="C21" s="16">
        <v>45971</v>
      </c>
      <c r="D21" s="72" t="s">
        <v>426</v>
      </c>
      <c r="E21" s="1" t="str">
        <f>_xlfn.XLOOKUP(F21,UTIL!Q:Q,UTIL!N:N,"-")</f>
        <v>056953013</v>
      </c>
      <c r="F21" s="15" t="s">
        <v>427</v>
      </c>
      <c r="G21" s="14">
        <v>884.29</v>
      </c>
      <c r="H21" s="4" t="s">
        <v>405</v>
      </c>
      <c r="I21" s="15">
        <v>782</v>
      </c>
      <c r="J21" s="16">
        <v>45975</v>
      </c>
      <c r="K21" s="71" t="s">
        <v>428</v>
      </c>
      <c r="L21" s="15" t="str">
        <f t="shared" si="0"/>
        <v>10.11 -Ped 047757 -CARGADEDICADA -TR PEÇA -R$884,29 -NF 782</v>
      </c>
    </row>
    <row r="22" spans="1:12" ht="14.4" x14ac:dyDescent="0.3">
      <c r="A22" s="4" t="s">
        <v>417</v>
      </c>
      <c r="B22" s="1" t="s">
        <v>377</v>
      </c>
      <c r="C22" s="16">
        <v>45964</v>
      </c>
      <c r="D22" s="1" t="s">
        <v>429</v>
      </c>
      <c r="E22" s="1" t="str">
        <f>_xlfn.XLOOKUP(F22,UTIL!Q:Q,UTIL!N:N,"-")</f>
        <v>049138592</v>
      </c>
      <c r="F22" s="15" t="s">
        <v>430</v>
      </c>
      <c r="G22" s="14">
        <v>1210</v>
      </c>
      <c r="H22" s="4" t="s">
        <v>405</v>
      </c>
      <c r="I22" s="15">
        <v>247</v>
      </c>
      <c r="J22" s="16">
        <v>45967</v>
      </c>
      <c r="K22" s="71" t="s">
        <v>431</v>
      </c>
      <c r="L22" s="15" t="str">
        <f t="shared" si="0"/>
        <v>03.11 -Ped 047247 -DELTA MOTOS COURIER -R$1210 -NF 247</v>
      </c>
    </row>
    <row r="23" spans="1:12" ht="14.4" x14ac:dyDescent="0.3">
      <c r="A23" s="4" t="s">
        <v>417</v>
      </c>
      <c r="B23" s="1" t="s">
        <v>432</v>
      </c>
      <c r="C23" s="16">
        <v>45964</v>
      </c>
      <c r="D23" s="1" t="s">
        <v>433</v>
      </c>
      <c r="E23" s="1" t="str">
        <f>_xlfn.XLOOKUP(F23,UTIL!Q:Q,UTIL!N:N,"-")</f>
        <v>049138592</v>
      </c>
      <c r="F23" s="15" t="s">
        <v>430</v>
      </c>
      <c r="G23" s="14">
        <v>550</v>
      </c>
      <c r="H23" s="4" t="s">
        <v>405</v>
      </c>
      <c r="I23" s="15">
        <v>246</v>
      </c>
      <c r="J23" s="16">
        <v>45968</v>
      </c>
      <c r="K23" s="71"/>
      <c r="L23" s="15" t="str">
        <f t="shared" si="0"/>
        <v>03.11 -Ped 047246 -DELTA MOTOS COURIER -R$550 -NF 246</v>
      </c>
    </row>
    <row r="24" spans="1:12" ht="14.4" x14ac:dyDescent="0.3">
      <c r="A24" s="4" t="s">
        <v>417</v>
      </c>
      <c r="B24" s="1" t="s">
        <v>153</v>
      </c>
      <c r="C24" s="16">
        <v>45964</v>
      </c>
      <c r="D24" s="1" t="s">
        <v>434</v>
      </c>
      <c r="E24" s="1" t="str">
        <f>_xlfn.XLOOKUP(F24,UTIL!Q:Q,UTIL!N:N,"-")</f>
        <v>049138592</v>
      </c>
      <c r="F24" s="15" t="s">
        <v>430</v>
      </c>
      <c r="G24" s="14">
        <v>180</v>
      </c>
      <c r="H24" s="4" t="s">
        <v>405</v>
      </c>
      <c r="I24" s="15">
        <v>245</v>
      </c>
      <c r="J24" s="16">
        <v>45969</v>
      </c>
      <c r="K24" s="71" t="s">
        <v>435</v>
      </c>
      <c r="L24" s="15" t="str">
        <f t="shared" si="0"/>
        <v>03.11 -Ped 047233 -DELTA MOTOS COURIER -R$180 -NF 245</v>
      </c>
    </row>
    <row r="25" spans="1:12" ht="14.4" x14ac:dyDescent="0.3">
      <c r="A25" s="4" t="s">
        <v>417</v>
      </c>
      <c r="B25" s="1" t="s">
        <v>205</v>
      </c>
      <c r="C25" s="16">
        <v>45964</v>
      </c>
      <c r="D25" s="1" t="s">
        <v>436</v>
      </c>
      <c r="E25" s="1" t="str">
        <f>_xlfn.XLOOKUP(F25,UTIL!Q:Q,UTIL!N:N,"-")</f>
        <v>049138592</v>
      </c>
      <c r="F25" s="15" t="s">
        <v>430</v>
      </c>
      <c r="G25" s="14">
        <v>990</v>
      </c>
      <c r="H25" s="4" t="s">
        <v>405</v>
      </c>
      <c r="I25" s="15">
        <v>244</v>
      </c>
      <c r="J25" s="16">
        <v>45970</v>
      </c>
      <c r="K25" s="71"/>
      <c r="L25" s="15" t="str">
        <f t="shared" si="0"/>
        <v>03.11 -Ped 047243 -DELTA MOTOS COURIER -R$990 -NF 244</v>
      </c>
    </row>
    <row r="26" spans="1:12" ht="14.4" x14ac:dyDescent="0.3">
      <c r="A26" s="4" t="s">
        <v>417</v>
      </c>
      <c r="B26" s="1" t="s">
        <v>437</v>
      </c>
      <c r="C26" s="16">
        <v>45964</v>
      </c>
      <c r="D26" s="1" t="s">
        <v>438</v>
      </c>
      <c r="E26" s="1" t="str">
        <f>_xlfn.XLOOKUP(F26,UTIL!Q:Q,UTIL!N:N,"-")</f>
        <v>049138592</v>
      </c>
      <c r="F26" s="15" t="s">
        <v>430</v>
      </c>
      <c r="G26" s="14">
        <v>245</v>
      </c>
      <c r="H26" s="4" t="s">
        <v>405</v>
      </c>
      <c r="I26" s="15">
        <v>243</v>
      </c>
      <c r="J26" s="16">
        <v>45971</v>
      </c>
      <c r="K26" s="71"/>
      <c r="L26" s="15" t="str">
        <f t="shared" si="0"/>
        <v>03.11 -Ped 047244 -DELTA MOTOS COURIER -R$245 -NF 243</v>
      </c>
    </row>
    <row r="27" spans="1:12" ht="14.4" x14ac:dyDescent="0.3">
      <c r="A27" s="4" t="s">
        <v>417</v>
      </c>
      <c r="B27" s="1" t="s">
        <v>412</v>
      </c>
      <c r="C27" s="16">
        <v>45964</v>
      </c>
      <c r="D27" s="1" t="s">
        <v>439</v>
      </c>
      <c r="E27" s="1" t="str">
        <f>_xlfn.XLOOKUP(F27,UTIL!Q:Q,UTIL!N:N,"-")</f>
        <v>049138592</v>
      </c>
      <c r="F27" s="15" t="s">
        <v>430</v>
      </c>
      <c r="G27" s="14">
        <v>8245</v>
      </c>
      <c r="H27" s="4" t="s">
        <v>405</v>
      </c>
      <c r="I27" s="15">
        <v>242</v>
      </c>
      <c r="J27" s="16">
        <v>45972</v>
      </c>
      <c r="K27" s="71"/>
      <c r="L27" s="15" t="str">
        <f t="shared" si="0"/>
        <v>03.11 -Ped 047249 -DELTA MOTOS COURIER -R$8245 -NF 242</v>
      </c>
    </row>
    <row r="28" spans="1:12" ht="14.4" x14ac:dyDescent="0.3">
      <c r="A28" s="4" t="s">
        <v>411</v>
      </c>
      <c r="B28" s="1" t="s">
        <v>412</v>
      </c>
      <c r="C28" s="16">
        <v>45971</v>
      </c>
      <c r="D28" s="1" t="s">
        <v>440</v>
      </c>
      <c r="E28" s="1" t="str">
        <f>_xlfn.XLOOKUP(F28,UTIL!Q:Q,UTIL!N:N,"-")</f>
        <v>076669324</v>
      </c>
      <c r="F28" s="15" t="s">
        <v>441</v>
      </c>
      <c r="G28" s="14">
        <v>133.13</v>
      </c>
      <c r="H28" s="4" t="s">
        <v>405</v>
      </c>
      <c r="I28" s="15" t="s">
        <v>442</v>
      </c>
      <c r="J28" s="16">
        <v>45964</v>
      </c>
      <c r="K28" s="71" t="s">
        <v>443</v>
      </c>
      <c r="L28" s="15" t="str">
        <f t="shared" si="0"/>
        <v>10.11 -Ped 047116 -DER - AET VEICULOS -R$133,13 -NF BOLETO</v>
      </c>
    </row>
    <row r="29" spans="1:12" ht="14.4" x14ac:dyDescent="0.3">
      <c r="A29" s="4" t="s">
        <v>444</v>
      </c>
      <c r="B29" s="1" t="s">
        <v>412</v>
      </c>
      <c r="C29" s="16">
        <v>45966</v>
      </c>
      <c r="D29" s="1" t="s">
        <v>445</v>
      </c>
      <c r="E29" s="1" t="str">
        <f>_xlfn.XLOOKUP(F29,UTIL!Q:Q,UTIL!N:N,"-")</f>
        <v>078206513</v>
      </c>
      <c r="F29" s="15" t="s">
        <v>446</v>
      </c>
      <c r="G29" s="14">
        <v>156.18</v>
      </c>
      <c r="H29" s="4" t="s">
        <v>405</v>
      </c>
      <c r="I29" s="15" t="s">
        <v>442</v>
      </c>
      <c r="J29" s="16">
        <v>45964</v>
      </c>
      <c r="K29" s="71" t="s">
        <v>447</v>
      </c>
      <c r="L29" s="15" t="str">
        <f t="shared" si="0"/>
        <v>05.11 -Ped 047117 -DETRAN PR -R$156,18 -NF BOLETO</v>
      </c>
    </row>
    <row r="30" spans="1:12" ht="14.4" x14ac:dyDescent="0.3">
      <c r="A30" s="4" t="s">
        <v>444</v>
      </c>
      <c r="B30" s="1" t="s">
        <v>412</v>
      </c>
      <c r="C30" s="16">
        <v>45966</v>
      </c>
      <c r="D30" s="1" t="s">
        <v>445</v>
      </c>
      <c r="E30" s="1" t="str">
        <f>_xlfn.XLOOKUP(F30,UTIL!Q:Q,UTIL!N:N,"-")</f>
        <v>078206513</v>
      </c>
      <c r="F30" s="15" t="s">
        <v>446</v>
      </c>
      <c r="G30" s="14">
        <v>94.61</v>
      </c>
      <c r="H30" s="4" t="s">
        <v>405</v>
      </c>
      <c r="I30" s="15" t="s">
        <v>442</v>
      </c>
      <c r="J30" s="16">
        <v>45964</v>
      </c>
      <c r="K30" s="71" t="s">
        <v>448</v>
      </c>
      <c r="L30" s="15" t="str">
        <f t="shared" si="0"/>
        <v>05.11 -Ped 047117 -DETRAN PR -R$94,61 -NF BOLETO</v>
      </c>
    </row>
    <row r="31" spans="1:12" ht="14.4" x14ac:dyDescent="0.3">
      <c r="A31" s="4" t="s">
        <v>411</v>
      </c>
      <c r="B31" s="1" t="s">
        <v>412</v>
      </c>
      <c r="C31" s="16">
        <v>45965</v>
      </c>
      <c r="D31" s="1" t="s">
        <v>449</v>
      </c>
      <c r="E31" s="1" t="str">
        <f>_xlfn.XLOOKUP(F31,UTIL!Q:Q,UTIL!N:N,"-")</f>
        <v>004892707</v>
      </c>
      <c r="F31" s="15" t="s">
        <v>450</v>
      </c>
      <c r="G31" s="14">
        <v>87.62</v>
      </c>
      <c r="H31" s="4" t="s">
        <v>405</v>
      </c>
      <c r="I31" s="15" t="s">
        <v>442</v>
      </c>
      <c r="J31" s="16">
        <v>45965</v>
      </c>
      <c r="K31" s="71" t="s">
        <v>451</v>
      </c>
      <c r="L31" s="15" t="str">
        <f t="shared" si="0"/>
        <v>04.11 -Ped 047178 -DNIT -R$87,62 -NF BOLETO</v>
      </c>
    </row>
    <row r="32" spans="1:12" ht="14.4" x14ac:dyDescent="0.3">
      <c r="A32" s="4" t="s">
        <v>425</v>
      </c>
      <c r="B32" s="1" t="s">
        <v>205</v>
      </c>
      <c r="C32" s="16">
        <v>45964</v>
      </c>
      <c r="D32" s="1" t="s">
        <v>452</v>
      </c>
      <c r="E32" s="1" t="str">
        <f>_xlfn.XLOOKUP(F32,UTIL!Q:Q,UTIL!N:N,"-")</f>
        <v>027525938</v>
      </c>
      <c r="F32" s="15" t="s">
        <v>453</v>
      </c>
      <c r="G32" s="14">
        <v>1100</v>
      </c>
      <c r="H32" s="4" t="s">
        <v>405</v>
      </c>
      <c r="I32" s="15">
        <v>2967</v>
      </c>
      <c r="J32" s="16">
        <v>45965</v>
      </c>
      <c r="K32" s="71" t="s">
        <v>454</v>
      </c>
      <c r="L32" s="15" t="str">
        <f t="shared" si="0"/>
        <v>03.11 -Ped 047186 -ESC -TR PEÇA -R$1100 -NF 2967</v>
      </c>
    </row>
    <row r="33" spans="1:12" ht="14.4" x14ac:dyDescent="0.3">
      <c r="A33" s="4" t="s">
        <v>425</v>
      </c>
      <c r="B33" s="1" t="s">
        <v>153</v>
      </c>
      <c r="C33" s="16">
        <v>45964</v>
      </c>
      <c r="D33" s="1" t="s">
        <v>455</v>
      </c>
      <c r="E33" s="1" t="str">
        <f>_xlfn.XLOOKUP(F33,UTIL!Q:Q,UTIL!N:N,"-")</f>
        <v>027525938</v>
      </c>
      <c r="F33" s="15" t="s">
        <v>453</v>
      </c>
      <c r="G33" s="14">
        <v>550</v>
      </c>
      <c r="H33" s="4" t="s">
        <v>405</v>
      </c>
      <c r="I33" s="15">
        <v>2965</v>
      </c>
      <c r="J33" s="16">
        <v>45965</v>
      </c>
      <c r="K33" s="71" t="s">
        <v>454</v>
      </c>
      <c r="L33" s="15" t="str">
        <f t="shared" si="0"/>
        <v>03.11 -Ped 047187 -ESC -TR PEÇA -R$550 -NF 2965</v>
      </c>
    </row>
    <row r="34" spans="1:12" ht="14.4" x14ac:dyDescent="0.3">
      <c r="A34" s="4" t="s">
        <v>425</v>
      </c>
      <c r="B34" s="1" t="s">
        <v>412</v>
      </c>
      <c r="C34" s="16">
        <v>45964</v>
      </c>
      <c r="D34" s="1" t="s">
        <v>456</v>
      </c>
      <c r="E34" s="1" t="str">
        <f>_xlfn.XLOOKUP(F34,UTIL!Q:Q,UTIL!N:N,"-")</f>
        <v>027525938</v>
      </c>
      <c r="F34" s="15" t="s">
        <v>453</v>
      </c>
      <c r="G34" s="14">
        <v>600</v>
      </c>
      <c r="H34" s="4" t="s">
        <v>405</v>
      </c>
      <c r="I34" s="15">
        <v>2964</v>
      </c>
      <c r="J34" s="16">
        <v>45965</v>
      </c>
      <c r="K34" s="71" t="s">
        <v>454</v>
      </c>
      <c r="L34" s="15" t="str">
        <f t="shared" ref="L34:L65" si="1">TEXT($C34,"dd.mm") &amp; " -Ped " &amp; D34 &amp; " -" &amp; F34 &amp; " -R$" &amp; G34 &amp; IF(LEN(TRIM(I34))=0, "", " -NF " &amp; TRIM(I34))</f>
        <v>03.11 -Ped 047188 -ESC -TR PEÇA -R$600 -NF 2964</v>
      </c>
    </row>
    <row r="35" spans="1:12" ht="14.4" x14ac:dyDescent="0.3">
      <c r="A35" s="4" t="s">
        <v>425</v>
      </c>
      <c r="B35" s="1" t="s">
        <v>437</v>
      </c>
      <c r="C35" s="16">
        <v>45964</v>
      </c>
      <c r="D35" s="1" t="s">
        <v>457</v>
      </c>
      <c r="E35" s="1" t="str">
        <f>_xlfn.XLOOKUP(F35,UTIL!Q:Q,UTIL!N:N,"-")</f>
        <v>027525938</v>
      </c>
      <c r="F35" s="15" t="s">
        <v>453</v>
      </c>
      <c r="G35" s="14">
        <v>550</v>
      </c>
      <c r="H35" s="4" t="s">
        <v>405</v>
      </c>
      <c r="I35" s="15">
        <v>2963</v>
      </c>
      <c r="J35" s="16">
        <v>45965</v>
      </c>
      <c r="K35" s="71" t="s">
        <v>454</v>
      </c>
      <c r="L35" s="15" t="str">
        <f t="shared" si="1"/>
        <v>03.11 -Ped 047189 -ESC -TR PEÇA -R$550 -NF 2963</v>
      </c>
    </row>
    <row r="36" spans="1:12" ht="14.4" x14ac:dyDescent="0.3">
      <c r="A36" s="4" t="s">
        <v>425</v>
      </c>
      <c r="B36" s="1" t="s">
        <v>312</v>
      </c>
      <c r="C36" s="16">
        <v>45964</v>
      </c>
      <c r="D36" s="1" t="s">
        <v>458</v>
      </c>
      <c r="E36" s="1" t="str">
        <f>_xlfn.XLOOKUP(F36,UTIL!Q:Q,UTIL!N:N,"-")</f>
        <v>027525938</v>
      </c>
      <c r="F36" s="15" t="s">
        <v>453</v>
      </c>
      <c r="G36" s="14">
        <v>850</v>
      </c>
      <c r="H36" s="4" t="s">
        <v>405</v>
      </c>
      <c r="I36" s="15">
        <v>2962</v>
      </c>
      <c r="J36" s="16">
        <v>45965</v>
      </c>
      <c r="K36" s="71" t="s">
        <v>454</v>
      </c>
      <c r="L36" s="15" t="str">
        <f t="shared" si="1"/>
        <v>03.11 -Ped 047190 -ESC -TR PEÇA -R$850 -NF 2962</v>
      </c>
    </row>
    <row r="37" spans="1:12" ht="14.4" x14ac:dyDescent="0.3">
      <c r="A37" s="4" t="s">
        <v>425</v>
      </c>
      <c r="B37" s="1" t="s">
        <v>432</v>
      </c>
      <c r="C37" s="16">
        <v>45964</v>
      </c>
      <c r="D37" s="1" t="s">
        <v>459</v>
      </c>
      <c r="E37" s="1" t="str">
        <f>_xlfn.XLOOKUP(F37,UTIL!Q:Q,UTIL!N:N,"-")</f>
        <v>027525938</v>
      </c>
      <c r="F37" s="15" t="s">
        <v>453</v>
      </c>
      <c r="G37" s="14">
        <v>1100</v>
      </c>
      <c r="H37" s="4" t="s">
        <v>405</v>
      </c>
      <c r="I37" s="15">
        <v>2969</v>
      </c>
      <c r="J37" s="16">
        <v>45965</v>
      </c>
      <c r="K37" s="71" t="s">
        <v>454</v>
      </c>
      <c r="L37" s="15" t="str">
        <f t="shared" si="1"/>
        <v>03.11 -Ped 047192 -ESC -TR PEÇA -R$1100 -NF 2969</v>
      </c>
    </row>
    <row r="38" spans="1:12" ht="14.4" x14ac:dyDescent="0.3">
      <c r="A38" s="4" t="s">
        <v>425</v>
      </c>
      <c r="B38" s="1" t="s">
        <v>377</v>
      </c>
      <c r="C38" s="16">
        <v>45964</v>
      </c>
      <c r="D38" s="1" t="s">
        <v>460</v>
      </c>
      <c r="E38" s="1" t="str">
        <f>_xlfn.XLOOKUP(F38,UTIL!Q:Q,UTIL!N:N,"-")</f>
        <v>027525938</v>
      </c>
      <c r="F38" s="15" t="s">
        <v>453</v>
      </c>
      <c r="G38" s="14">
        <v>830</v>
      </c>
      <c r="H38" s="4" t="s">
        <v>405</v>
      </c>
      <c r="I38" s="15">
        <v>2968</v>
      </c>
      <c r="J38" s="16">
        <v>45965</v>
      </c>
      <c r="K38" s="71" t="s">
        <v>454</v>
      </c>
      <c r="L38" s="15" t="str">
        <f t="shared" si="1"/>
        <v>03.11 -Ped 047193 -ESC -TR PEÇA -R$830 -NF 2968</v>
      </c>
    </row>
    <row r="39" spans="1:12" ht="14.4" x14ac:dyDescent="0.3">
      <c r="A39" s="4" t="s">
        <v>402</v>
      </c>
      <c r="B39" s="1" t="s">
        <v>153</v>
      </c>
      <c r="C39" s="16">
        <v>45962</v>
      </c>
      <c r="D39" s="72" t="s">
        <v>461</v>
      </c>
      <c r="E39" s="1" t="str">
        <f>_xlfn.XLOOKUP(F39,UTIL!Q:Q,UTIL!N:N,"-")</f>
        <v>046304055</v>
      </c>
      <c r="F39" s="15" t="s">
        <v>462</v>
      </c>
      <c r="G39" s="14">
        <v>500</v>
      </c>
      <c r="H39" s="4" t="s">
        <v>405</v>
      </c>
      <c r="K39" s="71"/>
      <c r="L39" s="15" t="str">
        <f t="shared" si="1"/>
        <v>01.11 -Ped 047552 -GRICZYNSKI -TR MAQ -R$500</v>
      </c>
    </row>
    <row r="40" spans="1:12" ht="14.4" x14ac:dyDescent="0.3">
      <c r="A40" s="4" t="s">
        <v>402</v>
      </c>
      <c r="B40" s="1" t="s">
        <v>153</v>
      </c>
      <c r="C40" s="16">
        <v>45962</v>
      </c>
      <c r="D40" s="72" t="s">
        <v>461</v>
      </c>
      <c r="E40" s="1" t="str">
        <f>_xlfn.XLOOKUP(F40,UTIL!Q:Q,UTIL!N:N,"-")</f>
        <v>046304055</v>
      </c>
      <c r="F40" s="15" t="s">
        <v>462</v>
      </c>
      <c r="G40" s="14">
        <v>300</v>
      </c>
      <c r="H40" s="4" t="s">
        <v>405</v>
      </c>
      <c r="K40" s="71"/>
      <c r="L40" s="15" t="str">
        <f t="shared" si="1"/>
        <v>01.11 -Ped 047552 -GRICZYNSKI -TR MAQ -R$300</v>
      </c>
    </row>
    <row r="41" spans="1:12" ht="14.4" x14ac:dyDescent="0.3">
      <c r="A41" s="4" t="s">
        <v>402</v>
      </c>
      <c r="B41" s="1" t="s">
        <v>153</v>
      </c>
      <c r="C41" s="16">
        <v>45962</v>
      </c>
      <c r="D41" s="72" t="s">
        <v>461</v>
      </c>
      <c r="E41" s="1" t="str">
        <f>_xlfn.XLOOKUP(F41,UTIL!Q:Q,UTIL!N:N,"-")</f>
        <v>046304055</v>
      </c>
      <c r="F41" s="15" t="s">
        <v>462</v>
      </c>
      <c r="G41" s="14">
        <v>300</v>
      </c>
      <c r="H41" s="4" t="s">
        <v>405</v>
      </c>
      <c r="K41" s="71"/>
      <c r="L41" s="15" t="str">
        <f t="shared" si="1"/>
        <v>01.11 -Ped 047552 -GRICZYNSKI -TR MAQ -R$300</v>
      </c>
    </row>
    <row r="42" spans="1:12" ht="14.4" x14ac:dyDescent="0.3">
      <c r="A42" s="4" t="s">
        <v>463</v>
      </c>
      <c r="B42" s="1" t="s">
        <v>432</v>
      </c>
      <c r="C42" s="16">
        <v>45974</v>
      </c>
      <c r="D42" s="72" t="s">
        <v>464</v>
      </c>
      <c r="E42" s="1" t="str">
        <f>_xlfn.XLOOKUP(F42,UTIL!Q:Q,UTIL!N:N,"-")</f>
        <v>061028125</v>
      </c>
      <c r="F42" s="15" t="s">
        <v>465</v>
      </c>
      <c r="G42" s="14">
        <v>270</v>
      </c>
      <c r="H42" s="4" t="s">
        <v>405</v>
      </c>
      <c r="K42" s="71" t="s">
        <v>466</v>
      </c>
      <c r="L42" s="15" t="str">
        <f t="shared" si="1"/>
        <v>13.11 -Ped 047758 -INCOMESPMUNCK -TR MAQ -R$270</v>
      </c>
    </row>
    <row r="43" spans="1:12" ht="14.4" x14ac:dyDescent="0.3">
      <c r="A43" s="4" t="s">
        <v>417</v>
      </c>
      <c r="B43" s="1" t="s">
        <v>437</v>
      </c>
      <c r="C43" s="16">
        <v>45965</v>
      </c>
      <c r="D43" s="1" t="s">
        <v>467</v>
      </c>
      <c r="E43" s="1" t="str">
        <f>_xlfn.XLOOKUP(F43,UTIL!Q:Q,UTIL!N:N,"-")</f>
        <v>034154225</v>
      </c>
      <c r="F43" s="15" t="s">
        <v>468</v>
      </c>
      <c r="G43" s="14">
        <v>150</v>
      </c>
      <c r="H43" s="4" t="s">
        <v>405</v>
      </c>
      <c r="I43" s="15">
        <v>420</v>
      </c>
      <c r="J43" s="16">
        <v>45967</v>
      </c>
      <c r="K43" s="71" t="s">
        <v>469</v>
      </c>
      <c r="L43" s="15" t="str">
        <f t="shared" si="1"/>
        <v>04.11 -Ped 047199 -JOHN ELVIS COURIER -R$150 -NF 420</v>
      </c>
    </row>
    <row r="44" spans="1:12" ht="14.4" x14ac:dyDescent="0.3">
      <c r="A44" s="4" t="s">
        <v>417</v>
      </c>
      <c r="B44" s="1" t="s">
        <v>437</v>
      </c>
      <c r="C44" s="16">
        <v>45971</v>
      </c>
      <c r="D44" s="72" t="s">
        <v>470</v>
      </c>
      <c r="E44" s="1" t="str">
        <f>_xlfn.XLOOKUP(F44,UTIL!Q:Q,UTIL!N:N,"-")</f>
        <v>031370636</v>
      </c>
      <c r="F44" s="15" t="s">
        <v>471</v>
      </c>
      <c r="G44" s="14">
        <v>700</v>
      </c>
      <c r="H44" s="4" t="s">
        <v>405</v>
      </c>
      <c r="I44" s="15">
        <v>10</v>
      </c>
      <c r="J44" s="16">
        <v>45973</v>
      </c>
      <c r="K44" s="71"/>
      <c r="L44" s="15" t="str">
        <f t="shared" si="1"/>
        <v>10.11 -Ped 047550 -JORGE LUIZ 2 COURIER -R$700 -NF 10</v>
      </c>
    </row>
    <row r="45" spans="1:12" ht="14.4" x14ac:dyDescent="0.3">
      <c r="A45" s="4" t="s">
        <v>417</v>
      </c>
      <c r="B45" s="1" t="s">
        <v>153</v>
      </c>
      <c r="C45" s="16">
        <v>45966</v>
      </c>
      <c r="D45" s="72" t="s">
        <v>472</v>
      </c>
      <c r="E45" s="1" t="str">
        <f>_xlfn.XLOOKUP(F45,UTIL!Q:Q,UTIL!N:N,"-")</f>
        <v>031370636</v>
      </c>
      <c r="F45" s="15" t="s">
        <v>471</v>
      </c>
      <c r="G45" s="14">
        <v>180</v>
      </c>
      <c r="H45" s="4" t="s">
        <v>405</v>
      </c>
      <c r="K45" s="71" t="s">
        <v>473</v>
      </c>
      <c r="L45" s="15" t="str">
        <f t="shared" si="1"/>
        <v>05.11 -Ped 047328 -JORGE LUIZ 2 COURIER -R$180</v>
      </c>
    </row>
    <row r="46" spans="1:12" ht="14.4" x14ac:dyDescent="0.3">
      <c r="A46" s="4" t="s">
        <v>417</v>
      </c>
      <c r="B46" s="1" t="s">
        <v>312</v>
      </c>
      <c r="C46" s="16">
        <v>45972</v>
      </c>
      <c r="D46" s="72" t="s">
        <v>474</v>
      </c>
      <c r="E46" s="1" t="str">
        <f>_xlfn.XLOOKUP(F46,UTIL!Q:Q,UTIL!N:N,"-")</f>
        <v>059376166</v>
      </c>
      <c r="F46" s="15" t="s">
        <v>475</v>
      </c>
      <c r="G46" s="14">
        <v>2390</v>
      </c>
      <c r="H46" s="4" t="s">
        <v>405</v>
      </c>
      <c r="I46" s="15">
        <v>155</v>
      </c>
      <c r="J46" s="16">
        <v>45974</v>
      </c>
      <c r="K46" s="71" t="s">
        <v>424</v>
      </c>
      <c r="L46" s="15" t="str">
        <f t="shared" si="1"/>
        <v>11.11 -Ped 047685 -JOSEAMILTON1 COURIER -R$2390 -NF 155</v>
      </c>
    </row>
    <row r="47" spans="1:12" ht="15" customHeight="1" x14ac:dyDescent="0.3">
      <c r="A47" s="4" t="s">
        <v>476</v>
      </c>
      <c r="B47" s="1" t="s">
        <v>432</v>
      </c>
      <c r="C47" s="16">
        <v>45978</v>
      </c>
      <c r="D47" s="72" t="s">
        <v>477</v>
      </c>
      <c r="E47" s="1" t="str">
        <f>_xlfn.XLOOKUP(F47,UTIL!Q:Q,UTIL!N:N,"-")</f>
        <v>006233947</v>
      </c>
      <c r="F47" s="15" t="s">
        <v>478</v>
      </c>
      <c r="G47" s="14">
        <v>9600</v>
      </c>
      <c r="H47" s="4" t="s">
        <v>479</v>
      </c>
      <c r="K47" s="71"/>
      <c r="L47" s="15" t="str">
        <f t="shared" si="1"/>
        <v>17.11 -Ped 047803 -LUG -TR MAQ -R$9600</v>
      </c>
    </row>
    <row r="48" spans="1:12" ht="15" customHeight="1" x14ac:dyDescent="0.3">
      <c r="A48" s="4" t="s">
        <v>417</v>
      </c>
      <c r="B48" s="1" t="s">
        <v>312</v>
      </c>
      <c r="C48" s="16">
        <v>45966</v>
      </c>
      <c r="D48" s="1" t="s">
        <v>421</v>
      </c>
      <c r="E48" s="1" t="str">
        <f>_xlfn.XLOOKUP(F48,UTIL!Q:Q,UTIL!N:N,"-")</f>
        <v>051496564</v>
      </c>
      <c r="F48" s="15" t="s">
        <v>480</v>
      </c>
      <c r="G48" s="14">
        <v>520</v>
      </c>
      <c r="H48" s="4" t="s">
        <v>405</v>
      </c>
      <c r="I48" s="15">
        <v>408</v>
      </c>
      <c r="J48" s="16">
        <v>45967</v>
      </c>
      <c r="K48" s="71" t="s">
        <v>481</v>
      </c>
      <c r="L48" s="15" t="str">
        <f t="shared" si="1"/>
        <v>05.11 -Ped 047267 -MARCOS D. COURIER -R$520 -NF 408</v>
      </c>
    </row>
    <row r="49" spans="1:12" ht="15" customHeight="1" x14ac:dyDescent="0.3">
      <c r="A49" s="4" t="s">
        <v>417</v>
      </c>
      <c r="B49" s="1" t="s">
        <v>432</v>
      </c>
      <c r="C49" s="16">
        <v>45966</v>
      </c>
      <c r="D49" s="1" t="s">
        <v>482</v>
      </c>
      <c r="E49" s="1" t="str">
        <f>_xlfn.XLOOKUP(F49,UTIL!Q:Q,UTIL!N:N,"-")</f>
        <v>051496564</v>
      </c>
      <c r="F49" s="15" t="s">
        <v>480</v>
      </c>
      <c r="G49" s="14">
        <v>180</v>
      </c>
      <c r="H49" s="4" t="s">
        <v>405</v>
      </c>
      <c r="I49" s="15">
        <v>409</v>
      </c>
      <c r="J49" s="16">
        <v>45967</v>
      </c>
      <c r="K49" s="71" t="s">
        <v>483</v>
      </c>
      <c r="L49" s="15" t="str">
        <f t="shared" si="1"/>
        <v>05.11 -Ped 047268 -MARCOS D. COURIER -R$180 -NF 409</v>
      </c>
    </row>
    <row r="50" spans="1:12" ht="15" customHeight="1" x14ac:dyDescent="0.3">
      <c r="A50" s="4" t="s">
        <v>417</v>
      </c>
      <c r="B50" s="1" t="s">
        <v>432</v>
      </c>
      <c r="C50" s="16">
        <v>45965</v>
      </c>
      <c r="D50" s="72" t="s">
        <v>484</v>
      </c>
      <c r="E50" s="1" t="str">
        <f>_xlfn.XLOOKUP(F50,UTIL!Q:Q,UTIL!N:N,"-")</f>
        <v>051496564</v>
      </c>
      <c r="F50" s="15" t="s">
        <v>480</v>
      </c>
      <c r="G50" s="14">
        <v>400</v>
      </c>
      <c r="H50" s="4" t="s">
        <v>405</v>
      </c>
      <c r="I50" s="15">
        <v>420</v>
      </c>
      <c r="J50" s="16">
        <v>45973</v>
      </c>
      <c r="K50" s="71" t="s">
        <v>485</v>
      </c>
      <c r="L50" s="15" t="str">
        <f t="shared" si="1"/>
        <v>04.11 -Ped 047525 -MARCOS D. COURIER -R$400 -NF 420</v>
      </c>
    </row>
    <row r="51" spans="1:12" ht="15" customHeight="1" x14ac:dyDescent="0.3">
      <c r="A51" s="4" t="s">
        <v>417</v>
      </c>
      <c r="B51" s="1" t="s">
        <v>432</v>
      </c>
      <c r="C51" s="16">
        <v>45968</v>
      </c>
      <c r="D51" s="72" t="s">
        <v>486</v>
      </c>
      <c r="E51" s="1" t="str">
        <f>_xlfn.XLOOKUP(F51,UTIL!Q:Q,UTIL!N:N,"-")</f>
        <v>051496564</v>
      </c>
      <c r="F51" s="15" t="s">
        <v>480</v>
      </c>
      <c r="G51" s="14">
        <v>420</v>
      </c>
      <c r="H51" s="4" t="s">
        <v>405</v>
      </c>
      <c r="I51" s="15">
        <v>421</v>
      </c>
      <c r="J51" s="16">
        <v>45973</v>
      </c>
      <c r="K51" s="71" t="s">
        <v>487</v>
      </c>
      <c r="L51" s="15" t="str">
        <f t="shared" si="1"/>
        <v>07.11 -Ped 047527 -MARCOS D. COURIER -R$420 -NF 421</v>
      </c>
    </row>
    <row r="52" spans="1:12" ht="15" customHeight="1" x14ac:dyDescent="0.3">
      <c r="A52" s="4" t="s">
        <v>417</v>
      </c>
      <c r="B52" s="1" t="s">
        <v>432</v>
      </c>
      <c r="C52" s="16">
        <v>45971</v>
      </c>
      <c r="D52" s="72" t="s">
        <v>484</v>
      </c>
      <c r="E52" s="1" t="str">
        <f>_xlfn.XLOOKUP(F52,UTIL!Q:Q,UTIL!N:N,"-")</f>
        <v>051496564</v>
      </c>
      <c r="F52" s="15" t="s">
        <v>480</v>
      </c>
      <c r="G52" s="14">
        <v>250</v>
      </c>
      <c r="H52" s="4" t="s">
        <v>405</v>
      </c>
      <c r="I52" s="15">
        <v>420</v>
      </c>
      <c r="J52" s="16">
        <v>45973</v>
      </c>
      <c r="K52" s="71" t="s">
        <v>488</v>
      </c>
      <c r="L52" s="15" t="str">
        <f t="shared" si="1"/>
        <v>10.11 -Ped 047525 -MARCOS D. COURIER -R$250 -NF 420</v>
      </c>
    </row>
    <row r="53" spans="1:12" ht="15" customHeight="1" x14ac:dyDescent="0.3">
      <c r="A53" s="4" t="s">
        <v>402</v>
      </c>
      <c r="B53" s="1" t="s">
        <v>432</v>
      </c>
      <c r="C53" s="16">
        <v>45964</v>
      </c>
      <c r="D53" s="72" t="s">
        <v>489</v>
      </c>
      <c r="E53" s="1" t="str">
        <f>_xlfn.XLOOKUP(F53,UTIL!Q:Q,UTIL!N:N,"-")</f>
        <v>018725298</v>
      </c>
      <c r="F53" s="15" t="s">
        <v>490</v>
      </c>
      <c r="G53" s="14">
        <v>1352</v>
      </c>
      <c r="H53" s="4" t="s">
        <v>479</v>
      </c>
      <c r="K53" s="71" t="s">
        <v>491</v>
      </c>
      <c r="L53" s="15" t="str">
        <f t="shared" si="1"/>
        <v>03.11 -Ped 047805 -MAZETTO -TR MAQ -R$1352</v>
      </c>
    </row>
    <row r="54" spans="1:12" ht="15" customHeight="1" x14ac:dyDescent="0.3">
      <c r="A54" s="4" t="s">
        <v>409</v>
      </c>
      <c r="B54" s="1" t="s">
        <v>432</v>
      </c>
      <c r="C54" s="16">
        <v>45964</v>
      </c>
      <c r="D54" s="72" t="s">
        <v>489</v>
      </c>
      <c r="E54" s="1" t="str">
        <f>_xlfn.XLOOKUP(F54,UTIL!Q:Q,UTIL!N:N,"-")</f>
        <v>018725298</v>
      </c>
      <c r="F54" s="15" t="s">
        <v>490</v>
      </c>
      <c r="G54" s="14">
        <v>650</v>
      </c>
      <c r="H54" s="4" t="s">
        <v>479</v>
      </c>
      <c r="K54" s="71" t="s">
        <v>492</v>
      </c>
      <c r="L54" s="15" t="str">
        <f t="shared" si="1"/>
        <v>03.11 -Ped 047805 -MAZETTO -TR MAQ -R$650</v>
      </c>
    </row>
    <row r="55" spans="1:12" ht="15" customHeight="1" x14ac:dyDescent="0.3">
      <c r="A55" s="4" t="s">
        <v>410</v>
      </c>
      <c r="B55" s="1" t="s">
        <v>432</v>
      </c>
      <c r="C55" s="16">
        <v>45964</v>
      </c>
      <c r="D55" s="72" t="s">
        <v>489</v>
      </c>
      <c r="E55" s="1" t="str">
        <f>_xlfn.XLOOKUP(F55,UTIL!Q:Q,UTIL!N:N,"-")</f>
        <v>018725298</v>
      </c>
      <c r="F55" s="15" t="s">
        <v>490</v>
      </c>
      <c r="G55" s="14">
        <v>650</v>
      </c>
      <c r="H55" s="4" t="s">
        <v>479</v>
      </c>
      <c r="K55" s="71" t="s">
        <v>493</v>
      </c>
      <c r="L55" s="15" t="str">
        <f t="shared" si="1"/>
        <v>03.11 -Ped 047805 -MAZETTO -TR MAQ -R$650</v>
      </c>
    </row>
    <row r="56" spans="1:12" ht="15" customHeight="1" x14ac:dyDescent="0.3">
      <c r="A56" s="4" t="s">
        <v>402</v>
      </c>
      <c r="B56" s="1" t="s">
        <v>432</v>
      </c>
      <c r="C56" s="16">
        <v>45966</v>
      </c>
      <c r="D56" s="72" t="s">
        <v>489</v>
      </c>
      <c r="E56" s="1" t="str">
        <f>_xlfn.XLOOKUP(F56,UTIL!Q:Q,UTIL!N:N,"-")</f>
        <v>018725298</v>
      </c>
      <c r="F56" s="15" t="s">
        <v>490</v>
      </c>
      <c r="G56" s="14">
        <v>1458</v>
      </c>
      <c r="H56" s="4" t="s">
        <v>479</v>
      </c>
      <c r="K56" s="71" t="s">
        <v>494</v>
      </c>
      <c r="L56" s="15" t="str">
        <f t="shared" si="1"/>
        <v>05.11 -Ped 047805 -MAZETTO -TR MAQ -R$1458</v>
      </c>
    </row>
    <row r="57" spans="1:12" ht="15" customHeight="1" x14ac:dyDescent="0.3">
      <c r="A57" s="4" t="s">
        <v>402</v>
      </c>
      <c r="B57" s="1" t="s">
        <v>432</v>
      </c>
      <c r="C57" s="16">
        <v>45968</v>
      </c>
      <c r="D57" s="72" t="s">
        <v>495</v>
      </c>
      <c r="E57" s="1" t="str">
        <f>_xlfn.XLOOKUP(F57,UTIL!Q:Q,UTIL!N:N,"-")</f>
        <v>018725298</v>
      </c>
      <c r="F57" s="15" t="s">
        <v>490</v>
      </c>
      <c r="G57" s="14">
        <v>2890</v>
      </c>
      <c r="H57" s="4" t="s">
        <v>479</v>
      </c>
      <c r="K57" s="71" t="s">
        <v>496</v>
      </c>
      <c r="L57" s="15" t="str">
        <f t="shared" si="1"/>
        <v>07.11 -Ped 047806 -MAZETTO -TR MAQ -R$2890</v>
      </c>
    </row>
    <row r="58" spans="1:12" ht="15" customHeight="1" x14ac:dyDescent="0.3">
      <c r="A58" s="4" t="s">
        <v>402</v>
      </c>
      <c r="B58" s="1" t="s">
        <v>432</v>
      </c>
      <c r="C58" s="16">
        <v>45972</v>
      </c>
      <c r="D58" s="72" t="s">
        <v>495</v>
      </c>
      <c r="E58" s="1" t="str">
        <f>_xlfn.XLOOKUP(F58,UTIL!Q:Q,UTIL!N:N,"-")</f>
        <v>018725298</v>
      </c>
      <c r="F58" s="15" t="s">
        <v>490</v>
      </c>
      <c r="G58" s="14">
        <v>1389</v>
      </c>
      <c r="H58" s="4" t="s">
        <v>479</v>
      </c>
      <c r="K58" s="71" t="s">
        <v>497</v>
      </c>
      <c r="L58" s="15" t="str">
        <f t="shared" si="1"/>
        <v>11.11 -Ped 047806 -MAZETTO -TR MAQ -R$1389</v>
      </c>
    </row>
    <row r="59" spans="1:12" ht="15" customHeight="1" x14ac:dyDescent="0.3">
      <c r="A59" s="4" t="s">
        <v>402</v>
      </c>
      <c r="B59" s="1" t="s">
        <v>312</v>
      </c>
      <c r="C59" s="16">
        <v>45975</v>
      </c>
      <c r="D59" s="72" t="s">
        <v>498</v>
      </c>
      <c r="E59" s="1" t="str">
        <f>_xlfn.XLOOKUP(F59,UTIL!Q:Q,UTIL!N:N,"-")</f>
        <v>018725298</v>
      </c>
      <c r="F59" s="15" t="s">
        <v>490</v>
      </c>
      <c r="G59" s="14">
        <v>3662.3</v>
      </c>
      <c r="H59" s="4" t="s">
        <v>479</v>
      </c>
      <c r="K59" s="71" t="s">
        <v>499</v>
      </c>
      <c r="L59" s="15" t="str">
        <f t="shared" si="1"/>
        <v>14.11 -Ped 047804 -MAZETTO -TR MAQ -R$3662,3</v>
      </c>
    </row>
    <row r="60" spans="1:12" ht="15" customHeight="1" x14ac:dyDescent="0.3">
      <c r="A60" s="4" t="s">
        <v>411</v>
      </c>
      <c r="B60" s="1" t="s">
        <v>412</v>
      </c>
      <c r="C60" s="16">
        <v>45975</v>
      </c>
      <c r="D60" s="72" t="s">
        <v>500</v>
      </c>
      <c r="E60" s="1" t="str">
        <f>_xlfn.XLOOKUP(F60,UTIL!Q:Q,UTIL!N:N,"-")</f>
        <v>037969440</v>
      </c>
      <c r="F60" s="15" t="s">
        <v>501</v>
      </c>
      <c r="G60" s="14">
        <v>800.04</v>
      </c>
      <c r="H60" s="4" t="s">
        <v>405</v>
      </c>
      <c r="K60" s="71" t="s">
        <v>502</v>
      </c>
      <c r="L60" s="15" t="str">
        <f t="shared" si="1"/>
        <v>14.11 -Ped 047733 -MEGA TRUCK ACESSORIOS - MT -R$800,04</v>
      </c>
    </row>
    <row r="61" spans="1:12" ht="15" customHeight="1" x14ac:dyDescent="0.3">
      <c r="A61" s="4" t="s">
        <v>463</v>
      </c>
      <c r="B61" s="1" t="s">
        <v>412</v>
      </c>
      <c r="C61" s="16">
        <v>45973</v>
      </c>
      <c r="D61" s="72" t="s">
        <v>503</v>
      </c>
      <c r="E61" s="1" t="str">
        <f>_xlfn.XLOOKUP(F61,UTIL!Q:Q,UTIL!N:N,"-")</f>
        <v>000495608</v>
      </c>
      <c r="F61" s="15" t="s">
        <v>504</v>
      </c>
      <c r="G61" s="14">
        <v>440</v>
      </c>
      <c r="H61" s="4" t="s">
        <v>479</v>
      </c>
      <c r="K61" s="71" t="s">
        <v>505</v>
      </c>
      <c r="L61" s="15" t="str">
        <f t="shared" si="1"/>
        <v>12.11 -Ped 047801 -MONTPAR GUINDASTES -R$440</v>
      </c>
    </row>
    <row r="62" spans="1:12" ht="15" customHeight="1" x14ac:dyDescent="0.3">
      <c r="A62" s="4" t="s">
        <v>463</v>
      </c>
      <c r="B62" s="1" t="s">
        <v>153</v>
      </c>
      <c r="C62" s="16">
        <v>45972</v>
      </c>
      <c r="D62" s="72" t="s">
        <v>506</v>
      </c>
      <c r="E62" s="1" t="str">
        <f>_xlfn.XLOOKUP(F62,UTIL!Q:Q,UTIL!N:N,"-")</f>
        <v>030877442</v>
      </c>
      <c r="F62" s="15" t="s">
        <v>507</v>
      </c>
      <c r="G62" s="14">
        <v>1262</v>
      </c>
      <c r="H62" s="4" t="s">
        <v>405</v>
      </c>
      <c r="K62" s="71" t="s">
        <v>508</v>
      </c>
      <c r="L62" s="15" t="str">
        <f t="shared" si="1"/>
        <v>11.11 -Ped 047573 -MUNCK IRATI -TR MAQ -R$1262</v>
      </c>
    </row>
    <row r="63" spans="1:12" ht="15" customHeight="1" x14ac:dyDescent="0.3">
      <c r="A63" s="4" t="s">
        <v>417</v>
      </c>
      <c r="B63" s="1" t="s">
        <v>412</v>
      </c>
      <c r="C63" s="16">
        <v>45966</v>
      </c>
      <c r="D63" s="1" t="s">
        <v>509</v>
      </c>
      <c r="E63" s="1" t="str">
        <f>_xlfn.XLOOKUP(F63,UTIL!Q:Q,UTIL!N:N,"-")</f>
        <v>080227796</v>
      </c>
      <c r="F63" s="15" t="s">
        <v>510</v>
      </c>
      <c r="G63" s="14">
        <v>529.48</v>
      </c>
      <c r="H63" s="4" t="s">
        <v>405</v>
      </c>
      <c r="I63" s="15">
        <v>348407</v>
      </c>
      <c r="J63" s="16">
        <v>45967</v>
      </c>
      <c r="K63" s="71" t="s">
        <v>511</v>
      </c>
      <c r="L63" s="15" t="str">
        <f t="shared" si="1"/>
        <v>05.11 -Ped 047348 -PRINCESA -TR PEÇA -R$529,48 -NF 348407</v>
      </c>
    </row>
    <row r="64" spans="1:12" ht="15" customHeight="1" x14ac:dyDescent="0.3">
      <c r="A64" s="4" t="s">
        <v>417</v>
      </c>
      <c r="B64" s="1" t="s">
        <v>412</v>
      </c>
      <c r="C64" s="16">
        <v>45966</v>
      </c>
      <c r="D64" s="1" t="s">
        <v>509</v>
      </c>
      <c r="E64" s="1" t="str">
        <f>_xlfn.XLOOKUP(F64,UTIL!Q:Q,UTIL!N:N,"-")</f>
        <v>080227796</v>
      </c>
      <c r="F64" s="15" t="s">
        <v>510</v>
      </c>
      <c r="G64" s="14">
        <v>371.14</v>
      </c>
      <c r="H64" s="4" t="s">
        <v>405</v>
      </c>
      <c r="I64" s="15">
        <v>336939</v>
      </c>
      <c r="J64" s="16">
        <v>45967</v>
      </c>
      <c r="K64" s="71" t="s">
        <v>511</v>
      </c>
      <c r="L64" s="15" t="str">
        <f t="shared" si="1"/>
        <v>05.11 -Ped 047348 -PRINCESA -TR PEÇA -R$371,14 -NF 336939</v>
      </c>
    </row>
    <row r="65" spans="1:12" ht="15" customHeight="1" x14ac:dyDescent="0.3">
      <c r="A65" s="4" t="s">
        <v>425</v>
      </c>
      <c r="B65" s="1" t="s">
        <v>412</v>
      </c>
      <c r="C65" s="16">
        <v>45968</v>
      </c>
      <c r="D65" s="72" t="s">
        <v>512</v>
      </c>
      <c r="E65" s="1" t="str">
        <f>_xlfn.XLOOKUP(F65,UTIL!Q:Q,UTIL!N:N,"-")</f>
        <v>080227796</v>
      </c>
      <c r="F65" s="15" t="s">
        <v>510</v>
      </c>
      <c r="G65" s="14">
        <v>345.91</v>
      </c>
      <c r="H65" s="4" t="s">
        <v>405</v>
      </c>
      <c r="I65" s="15">
        <v>352387</v>
      </c>
      <c r="J65" s="16">
        <v>45975</v>
      </c>
      <c r="K65" s="71" t="s">
        <v>513</v>
      </c>
      <c r="L65" s="15" t="str">
        <f t="shared" si="1"/>
        <v>07.11 -Ped 047750 -PRINCESA -TR PEÇA -R$345,91 -NF 352387</v>
      </c>
    </row>
    <row r="66" spans="1:12" ht="15" customHeight="1" x14ac:dyDescent="0.3">
      <c r="A66" s="4" t="s">
        <v>425</v>
      </c>
      <c r="B66" s="1" t="s">
        <v>412</v>
      </c>
      <c r="C66" s="16">
        <v>45968</v>
      </c>
      <c r="D66" s="72" t="s">
        <v>512</v>
      </c>
      <c r="E66" s="1" t="str">
        <f>_xlfn.XLOOKUP(F66,UTIL!Q:Q,UTIL!N:N,"-")</f>
        <v>080227796</v>
      </c>
      <c r="F66" s="15" t="s">
        <v>510</v>
      </c>
      <c r="G66" s="14">
        <v>49.74</v>
      </c>
      <c r="H66" s="4" t="s">
        <v>405</v>
      </c>
      <c r="I66" s="15">
        <v>352389</v>
      </c>
      <c r="J66" s="16">
        <v>45975</v>
      </c>
      <c r="K66" s="71" t="s">
        <v>514</v>
      </c>
      <c r="L66" s="15" t="str">
        <f t="shared" ref="L66:L90" si="2"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 x14ac:dyDescent="0.3">
      <c r="A67" s="4" t="s">
        <v>425</v>
      </c>
      <c r="B67" s="1" t="s">
        <v>412</v>
      </c>
      <c r="C67" s="16">
        <v>45968</v>
      </c>
      <c r="D67" s="72" t="s">
        <v>512</v>
      </c>
      <c r="E67" s="1" t="str">
        <f>_xlfn.XLOOKUP(F67,UTIL!Q:Q,UTIL!N:N,"-")</f>
        <v>080227796</v>
      </c>
      <c r="F67" s="15" t="s">
        <v>510</v>
      </c>
      <c r="G67" s="14">
        <v>46.32</v>
      </c>
      <c r="H67" s="4" t="s">
        <v>405</v>
      </c>
      <c r="I67" s="15">
        <v>355838</v>
      </c>
      <c r="J67" s="16">
        <v>45975</v>
      </c>
      <c r="K67" s="71" t="s">
        <v>514</v>
      </c>
      <c r="L67" s="15" t="str">
        <f t="shared" si="2"/>
        <v>07.11 -Ped 047750 -PRINCESA -TR PEÇA -R$46,32 -NF 355838</v>
      </c>
    </row>
    <row r="68" spans="1:12" ht="15" customHeight="1" x14ac:dyDescent="0.3">
      <c r="A68" s="4" t="s">
        <v>411</v>
      </c>
      <c r="B68" s="1" t="s">
        <v>412</v>
      </c>
      <c r="C68" s="16">
        <v>45968</v>
      </c>
      <c r="D68" s="1" t="s">
        <v>515</v>
      </c>
      <c r="E68" s="1" t="str">
        <f>_xlfn.XLOOKUP(F68,UTIL!Q:Q,UTIL!N:N,"-")</f>
        <v>010273940</v>
      </c>
      <c r="F68" s="15" t="s">
        <v>516</v>
      </c>
      <c r="G68" s="14">
        <v>2780</v>
      </c>
      <c r="H68" s="4" t="s">
        <v>405</v>
      </c>
      <c r="I68" s="15">
        <v>2708</v>
      </c>
      <c r="J68" s="16">
        <v>45972</v>
      </c>
      <c r="K68" s="71" t="s">
        <v>517</v>
      </c>
      <c r="L68" s="15" t="str">
        <f t="shared" si="2"/>
        <v>07.11 -Ped 047383 -SERIE4 - MT 1 -R$2780 -NF 2708</v>
      </c>
    </row>
    <row r="69" spans="1:12" ht="15" customHeight="1" x14ac:dyDescent="0.3">
      <c r="A69" s="4" t="s">
        <v>411</v>
      </c>
      <c r="B69" s="1" t="s">
        <v>412</v>
      </c>
      <c r="C69" s="16">
        <v>45968</v>
      </c>
      <c r="D69" s="1" t="s">
        <v>515</v>
      </c>
      <c r="E69" s="1" t="str">
        <f>_xlfn.XLOOKUP(F69,UTIL!Q:Q,UTIL!N:N,"-")</f>
        <v>010273940</v>
      </c>
      <c r="F69" s="15" t="s">
        <v>516</v>
      </c>
      <c r="G69" s="14">
        <v>840</v>
      </c>
      <c r="H69" s="4" t="s">
        <v>405</v>
      </c>
      <c r="I69" s="15">
        <v>2374</v>
      </c>
      <c r="J69" s="16">
        <v>45972</v>
      </c>
      <c r="K69" s="71" t="s">
        <v>518</v>
      </c>
      <c r="L69" s="15" t="str">
        <f t="shared" si="2"/>
        <v>07.11 -Ped 047383 -SERIE4 - MT 1 -R$840 -NF 2374</v>
      </c>
    </row>
    <row r="70" spans="1:12" ht="15" customHeight="1" x14ac:dyDescent="0.3">
      <c r="A70" s="4" t="s">
        <v>411</v>
      </c>
      <c r="B70" s="1" t="s">
        <v>412</v>
      </c>
      <c r="C70" s="16">
        <v>45975</v>
      </c>
      <c r="D70" s="72" t="s">
        <v>519</v>
      </c>
      <c r="E70" s="1" t="str">
        <f>_xlfn.XLOOKUP(F70,UTIL!Q:Q,UTIL!N:N,"-")</f>
        <v>010273940</v>
      </c>
      <c r="F70" s="15" t="s">
        <v>516</v>
      </c>
      <c r="G70" s="14">
        <v>216</v>
      </c>
      <c r="H70" s="4" t="s">
        <v>479</v>
      </c>
      <c r="K70" s="71" t="s">
        <v>520</v>
      </c>
      <c r="L70" s="15" t="str">
        <f t="shared" si="2"/>
        <v>14.11 -Ped 047800 -SERIE4 - MT 1 -R$216</v>
      </c>
    </row>
    <row r="71" spans="1:12" ht="15" customHeight="1" x14ac:dyDescent="0.3">
      <c r="A71" s="4" t="s">
        <v>411</v>
      </c>
      <c r="B71" s="1" t="s">
        <v>412</v>
      </c>
      <c r="C71" s="16">
        <v>45975</v>
      </c>
      <c r="D71" s="72" t="s">
        <v>519</v>
      </c>
      <c r="E71" s="1" t="str">
        <f>_xlfn.XLOOKUP(F71,UTIL!Q:Q,UTIL!N:N,"-")</f>
        <v>010273940</v>
      </c>
      <c r="F71" s="15" t="s">
        <v>516</v>
      </c>
      <c r="G71" s="14">
        <v>120</v>
      </c>
      <c r="H71" s="4" t="s">
        <v>479</v>
      </c>
      <c r="K71" s="71" t="s">
        <v>521</v>
      </c>
      <c r="L71" s="15" t="str">
        <f t="shared" si="2"/>
        <v>14.11 -Ped 047800 -SERIE4 - MT 1 -R$120</v>
      </c>
    </row>
    <row r="72" spans="1:12" ht="15" customHeight="1" x14ac:dyDescent="0.3">
      <c r="A72" s="4" t="s">
        <v>402</v>
      </c>
      <c r="B72" s="1" t="s">
        <v>153</v>
      </c>
      <c r="C72" s="16">
        <v>45965</v>
      </c>
      <c r="D72" s="1" t="s">
        <v>522</v>
      </c>
      <c r="E72" s="1" t="str">
        <f>_xlfn.XLOOKUP(F72,UTIL!Q:Q,UTIL!N:N,"-")</f>
        <v>032878844</v>
      </c>
      <c r="F72" s="15" t="s">
        <v>523</v>
      </c>
      <c r="G72" s="14">
        <v>910</v>
      </c>
      <c r="H72" s="4" t="s">
        <v>405</v>
      </c>
      <c r="I72" s="15">
        <v>177</v>
      </c>
      <c r="J72" s="16">
        <v>45967</v>
      </c>
      <c r="K72" s="71" t="s">
        <v>524</v>
      </c>
      <c r="L72" s="15" t="str">
        <f t="shared" si="2"/>
        <v>04.11 -Ped 047269 -STOSKI -TR MAQ -R$910 -NF 177</v>
      </c>
    </row>
    <row r="73" spans="1:12" ht="15" customHeight="1" x14ac:dyDescent="0.3">
      <c r="A73" s="4" t="s">
        <v>444</v>
      </c>
      <c r="B73" s="1" t="s">
        <v>412</v>
      </c>
      <c r="C73" s="16">
        <v>45975</v>
      </c>
      <c r="D73" s="72" t="s">
        <v>525</v>
      </c>
      <c r="E73" s="1" t="str">
        <f>_xlfn.XLOOKUP(F73,UTIL!Q:Q,UTIL!N:N,"-")</f>
        <v>024586837</v>
      </c>
      <c r="F73" s="15" t="s">
        <v>526</v>
      </c>
      <c r="G73" s="14">
        <v>4175</v>
      </c>
      <c r="H73" s="4" t="s">
        <v>479</v>
      </c>
      <c r="K73" s="71" t="s">
        <v>527</v>
      </c>
      <c r="L73" s="15" t="str">
        <f t="shared" si="2"/>
        <v>14.11 -Ped 047732 -SUL LONAS - MT -R$4175</v>
      </c>
    </row>
    <row r="74" spans="1:12" ht="15" customHeight="1" x14ac:dyDescent="0.3">
      <c r="A74" s="4" t="s">
        <v>402</v>
      </c>
      <c r="B74" s="1" t="s">
        <v>205</v>
      </c>
      <c r="C74" s="16">
        <v>45965</v>
      </c>
      <c r="D74" s="1" t="s">
        <v>528</v>
      </c>
      <c r="E74" s="1" t="str">
        <f>_xlfn.XLOOKUP(F74,UTIL!Q:Q,UTIL!N:N,"-")</f>
        <v>006914002</v>
      </c>
      <c r="F74" s="15" t="s">
        <v>529</v>
      </c>
      <c r="G74" s="14">
        <v>1295</v>
      </c>
      <c r="H74" s="4" t="s">
        <v>405</v>
      </c>
      <c r="I74" s="15">
        <v>186</v>
      </c>
      <c r="J74" s="16">
        <v>45968</v>
      </c>
      <c r="K74" s="71" t="s">
        <v>530</v>
      </c>
      <c r="L74" s="15" t="str">
        <f t="shared" si="2"/>
        <v>04.11 -Ped 047315 -TRANSCAPITINGA-TR MAQ -R$1295 -NF 186</v>
      </c>
    </row>
    <row r="75" spans="1:12" ht="15" customHeight="1" x14ac:dyDescent="0.3">
      <c r="A75" s="4" t="s">
        <v>402</v>
      </c>
      <c r="B75" s="1" t="s">
        <v>205</v>
      </c>
      <c r="C75" s="16">
        <v>45966</v>
      </c>
      <c r="D75" s="1" t="s">
        <v>528</v>
      </c>
      <c r="E75" s="1" t="str">
        <f>_xlfn.XLOOKUP(F75,UTIL!Q:Q,UTIL!N:N,"-")</f>
        <v>006914002</v>
      </c>
      <c r="F75" s="15" t="s">
        <v>529</v>
      </c>
      <c r="G75" s="14">
        <v>975</v>
      </c>
      <c r="H75" s="4" t="s">
        <v>405</v>
      </c>
      <c r="I75" s="15">
        <v>186</v>
      </c>
      <c r="J75" s="16">
        <v>45968</v>
      </c>
      <c r="K75" s="71" t="s">
        <v>531</v>
      </c>
      <c r="L75" s="15" t="str">
        <f t="shared" si="2"/>
        <v>05.11 -Ped 047315 -TRANSCAPITINGA-TR MAQ -R$975 -NF 186</v>
      </c>
    </row>
    <row r="76" spans="1:12" ht="15" customHeight="1" x14ac:dyDescent="0.3">
      <c r="A76" s="4" t="s">
        <v>463</v>
      </c>
      <c r="B76" s="1" t="s">
        <v>205</v>
      </c>
      <c r="C76" s="16">
        <v>45975</v>
      </c>
      <c r="D76" s="72" t="s">
        <v>532</v>
      </c>
      <c r="E76" s="1" t="str">
        <f>_xlfn.XLOOKUP(F76,UTIL!Q:Q,UTIL!N:N,"-")</f>
        <v>006914002</v>
      </c>
      <c r="F76" s="15" t="s">
        <v>529</v>
      </c>
      <c r="G76" s="14">
        <v>800</v>
      </c>
      <c r="H76" s="4" t="s">
        <v>405</v>
      </c>
      <c r="I76" s="15">
        <v>190</v>
      </c>
      <c r="J76" s="16">
        <v>45975</v>
      </c>
      <c r="K76" s="71" t="s">
        <v>533</v>
      </c>
      <c r="L76" s="15" t="str">
        <f t="shared" si="2"/>
        <v>14.11 -Ped 047738 -TRANSCAPITINGA-TR MAQ -R$800 -NF 190</v>
      </c>
    </row>
    <row r="77" spans="1:12" ht="15" customHeight="1" x14ac:dyDescent="0.3">
      <c r="A77" s="4" t="s">
        <v>463</v>
      </c>
      <c r="B77" s="1" t="s">
        <v>205</v>
      </c>
      <c r="C77" s="16">
        <v>45962</v>
      </c>
      <c r="D77" s="72" t="s">
        <v>528</v>
      </c>
      <c r="E77" s="1" t="str">
        <f>_xlfn.XLOOKUP(F77,UTIL!Q:Q,UTIL!N:N,"-")</f>
        <v>006914002</v>
      </c>
      <c r="F77" s="15" t="s">
        <v>529</v>
      </c>
      <c r="G77" s="14">
        <v>1000</v>
      </c>
      <c r="H77" s="4" t="s">
        <v>405</v>
      </c>
      <c r="K77" s="71" t="s">
        <v>534</v>
      </c>
      <c r="L77" s="15" t="str">
        <f t="shared" si="2"/>
        <v>01.11 -Ped 047315 -TRANSCAPITINGA-TR MAQ -R$1000</v>
      </c>
    </row>
    <row r="78" spans="1:12" ht="15" customHeight="1" x14ac:dyDescent="0.3">
      <c r="A78" s="4" t="s">
        <v>417</v>
      </c>
      <c r="B78" s="1" t="s">
        <v>312</v>
      </c>
      <c r="C78" s="16">
        <v>45967</v>
      </c>
      <c r="D78" s="1" t="s">
        <v>535</v>
      </c>
      <c r="E78" s="1" t="str">
        <f>_xlfn.XLOOKUP(F78,UTIL!Q:Q,UTIL!N:N,"-")</f>
        <v>012772524</v>
      </c>
      <c r="F78" s="15" t="s">
        <v>536</v>
      </c>
      <c r="G78" s="14">
        <v>1860</v>
      </c>
      <c r="H78" s="4" t="s">
        <v>405</v>
      </c>
      <c r="I78" s="15">
        <v>3300</v>
      </c>
      <c r="J78" s="16">
        <v>45968</v>
      </c>
      <c r="K78" s="71" t="s">
        <v>424</v>
      </c>
      <c r="L78" s="15" t="str">
        <f t="shared" si="2"/>
        <v>06.11 -Ped 047349 -UNIBOY COURIER -R$1860 -NF 3300</v>
      </c>
    </row>
    <row r="79" spans="1:12" ht="15" customHeight="1" x14ac:dyDescent="0.3">
      <c r="A79" s="4" t="s">
        <v>409</v>
      </c>
      <c r="B79" s="1" t="s">
        <v>205</v>
      </c>
      <c r="C79" s="16">
        <v>45975</v>
      </c>
      <c r="D79" s="72" t="s">
        <v>537</v>
      </c>
      <c r="E79" s="1" t="str">
        <f>_xlfn.XLOOKUP(F79,UTIL!Q:Q,UTIL!N:N,"-")</f>
        <v>032603119</v>
      </c>
      <c r="F79" s="15" t="s">
        <v>538</v>
      </c>
      <c r="G79" s="14">
        <v>3800</v>
      </c>
      <c r="H79" s="4" t="s">
        <v>479</v>
      </c>
      <c r="K79" s="71"/>
      <c r="L79" s="15" t="str">
        <f t="shared" si="2"/>
        <v>14.11 -Ped 047802 -ZORTEA -TR MAQ -R$3800</v>
      </c>
    </row>
    <row r="80" spans="1:12" ht="15" customHeight="1" x14ac:dyDescent="0.3">
      <c r="A80" s="4" t="s">
        <v>410</v>
      </c>
      <c r="B80" s="1" t="s">
        <v>205</v>
      </c>
      <c r="C80" s="16">
        <v>45975</v>
      </c>
      <c r="D80" s="72" t="s">
        <v>537</v>
      </c>
      <c r="E80" s="1" t="str">
        <f>_xlfn.XLOOKUP(F80,UTIL!Q:Q,UTIL!N:N,"-")</f>
        <v>032603119</v>
      </c>
      <c r="F80" s="15" t="s">
        <v>538</v>
      </c>
      <c r="G80" s="14">
        <v>1600</v>
      </c>
      <c r="H80" s="4" t="s">
        <v>479</v>
      </c>
      <c r="K80" s="71"/>
      <c r="L80" s="15" t="str">
        <f t="shared" si="2"/>
        <v>14.11 -Ped 047802 -ZORTEA -TR MAQ -R$1600</v>
      </c>
    </row>
    <row r="81" spans="1:12" ht="15" customHeight="1" x14ac:dyDescent="0.3">
      <c r="A81" s="4" t="s">
        <v>417</v>
      </c>
      <c r="B81" s="1" t="s">
        <v>412</v>
      </c>
      <c r="C81" s="16">
        <v>45978</v>
      </c>
      <c r="D81" s="72" t="s">
        <v>539</v>
      </c>
      <c r="E81" s="1" t="str">
        <f>_xlfn.XLOOKUP(F81,UTIL!Q:Q,UTIL!N:N,"-")</f>
        <v>051496564</v>
      </c>
      <c r="F81" s="15" t="s">
        <v>480</v>
      </c>
      <c r="G81" s="14">
        <v>200</v>
      </c>
      <c r="H81" s="4" t="s">
        <v>479</v>
      </c>
      <c r="K81" s="71"/>
      <c r="L81" s="15" t="str">
        <f t="shared" si="2"/>
        <v>17.11 -Ped 047871 -MARCOS D. COURIER -R$200</v>
      </c>
    </row>
    <row r="82" spans="1:12" ht="15" customHeight="1" x14ac:dyDescent="0.3">
      <c r="A82" s="4" t="s">
        <v>402</v>
      </c>
      <c r="B82" s="1" t="s">
        <v>205</v>
      </c>
      <c r="C82" s="16">
        <v>45978</v>
      </c>
      <c r="D82" s="72" t="s">
        <v>540</v>
      </c>
      <c r="E82" s="1" t="str">
        <f>_xlfn.XLOOKUP(F82,UTIL!Q:Q,UTIL!N:N,"-")</f>
        <v>061259226</v>
      </c>
      <c r="F82" s="15" t="s">
        <v>541</v>
      </c>
      <c r="G82" s="14">
        <v>1328</v>
      </c>
      <c r="H82" s="4" t="s">
        <v>479</v>
      </c>
      <c r="K82" s="71" t="s">
        <v>542</v>
      </c>
      <c r="L82" s="15" t="str">
        <f t="shared" si="2"/>
        <v>17.11 -Ped 047872 -JAPA MARRERO -TR MAQ -R$1328</v>
      </c>
    </row>
    <row r="83" spans="1:12" ht="15" customHeight="1" x14ac:dyDescent="0.3">
      <c r="A83" s="4" t="s">
        <v>409</v>
      </c>
      <c r="B83" s="1" t="s">
        <v>205</v>
      </c>
      <c r="C83" s="16">
        <v>45975</v>
      </c>
      <c r="D83" s="72" t="s">
        <v>540</v>
      </c>
      <c r="E83" s="1" t="str">
        <f>_xlfn.XLOOKUP(F83,UTIL!Q:Q,UTIL!N:N,"-")</f>
        <v>061259226</v>
      </c>
      <c r="F83" s="15" t="s">
        <v>541</v>
      </c>
      <c r="G83" s="14">
        <v>6740</v>
      </c>
      <c r="H83" s="4" t="s">
        <v>479</v>
      </c>
      <c r="K83" s="71" t="s">
        <v>543</v>
      </c>
      <c r="L83" s="15" t="str">
        <f t="shared" si="2"/>
        <v>14.11 -Ped 047872 -JAPA MARRERO -TR MAQ -R$6740</v>
      </c>
    </row>
    <row r="84" spans="1:12" ht="15" customHeight="1" x14ac:dyDescent="0.3">
      <c r="A84" s="4" t="s">
        <v>463</v>
      </c>
      <c r="B84" s="1" t="s">
        <v>205</v>
      </c>
      <c r="C84" s="16">
        <v>45978</v>
      </c>
      <c r="D84" s="72" t="s">
        <v>544</v>
      </c>
      <c r="E84" s="1" t="str">
        <f>_xlfn.XLOOKUP(F84,UTIL!Q:Q,UTIL!N:N,"-")</f>
        <v>033254429</v>
      </c>
      <c r="F84" s="15" t="s">
        <v>545</v>
      </c>
      <c r="G84" s="14">
        <v>945</v>
      </c>
      <c r="H84" s="4"/>
      <c r="K84" s="71" t="s">
        <v>546</v>
      </c>
      <c r="L84" s="15" t="str">
        <f t="shared" si="2"/>
        <v>17.11 -Ped 047873 -MULTISOLDAS E MUNCK -R$945</v>
      </c>
    </row>
    <row r="85" spans="1:12" ht="15" customHeight="1" x14ac:dyDescent="0.3">
      <c r="A85" s="4"/>
      <c r="E85" s="1" t="str">
        <f>_xlfn.XLOOKUP(F85,UTIL!Q:Q,UTIL!N:N,"-")</f>
        <v>0</v>
      </c>
      <c r="H85" s="4"/>
      <c r="K85" s="71"/>
      <c r="L85" s="15" t="str">
        <f t="shared" si="2"/>
        <v>00.01 -Ped  - -R$</v>
      </c>
    </row>
    <row r="86" spans="1:12" ht="15" customHeight="1" x14ac:dyDescent="0.3">
      <c r="A86" s="4"/>
      <c r="E86" s="1" t="str">
        <f>_xlfn.XLOOKUP(F86,UTIL!Q:Q,UTIL!N:N,"-")</f>
        <v>0</v>
      </c>
      <c r="H86" s="4"/>
      <c r="K86" s="71"/>
      <c r="L86" s="15" t="str">
        <f t="shared" si="2"/>
        <v>00.01 -Ped  - -R$</v>
      </c>
    </row>
    <row r="87" spans="1:12" ht="15" customHeight="1" x14ac:dyDescent="0.3">
      <c r="A87" s="4"/>
      <c r="E87" s="1" t="str">
        <f>_xlfn.XLOOKUP(F87,UTIL!Q:Q,UTIL!N:N,"-")</f>
        <v>0</v>
      </c>
      <c r="H87" s="4"/>
      <c r="K87" s="71"/>
      <c r="L87" s="15" t="str">
        <f t="shared" si="2"/>
        <v>00.01 -Ped  - -R$</v>
      </c>
    </row>
    <row r="88" spans="1:12" ht="15" customHeight="1" x14ac:dyDescent="0.3">
      <c r="A88" s="4"/>
      <c r="E88" s="1" t="str">
        <f>_xlfn.XLOOKUP(F88,UTIL!Q:Q,UTIL!N:N,"-")</f>
        <v>0</v>
      </c>
      <c r="H88" s="4"/>
      <c r="K88" s="71"/>
      <c r="L88" s="15" t="str">
        <f t="shared" si="2"/>
        <v>00.01 -Ped  - -R$</v>
      </c>
    </row>
    <row r="89" spans="1:12" ht="15" customHeight="1" x14ac:dyDescent="0.3">
      <c r="A89" s="4"/>
      <c r="E89" s="1" t="str">
        <f>_xlfn.XLOOKUP(F89,UTIL!Q:Q,UTIL!N:N,"-")</f>
        <v>0</v>
      </c>
      <c r="H89" s="4"/>
      <c r="K89" s="71"/>
      <c r="L89" s="15" t="str">
        <f t="shared" si="2"/>
        <v>00.01 -Ped  - -R$</v>
      </c>
    </row>
    <row r="90" spans="1:12" ht="15" customHeight="1" x14ac:dyDescent="0.3">
      <c r="A90" s="4"/>
      <c r="E90" s="1" t="str">
        <f>_xlfn.XLOOKUP(F90,UTIL!Q:Q,UTIL!N:N,"-")</f>
        <v>0</v>
      </c>
      <c r="H90" s="4"/>
      <c r="K90" s="71"/>
      <c r="L90" s="15" t="str">
        <f t="shared" si="2"/>
        <v>00.01 -Ped  - -R$</v>
      </c>
    </row>
  </sheetData>
  <conditionalFormatting sqref="A2:H9996">
    <cfRule type="expression" dxfId="59" priority="1">
      <formula>$H2="APROVADO"</formula>
    </cfRule>
    <cfRule type="expression" dxfId="58" priority="3">
      <formula>$H2="AGUARDANDO"</formula>
    </cfRule>
  </conditionalFormatting>
  <conditionalFormatting sqref="A2:L9996">
    <cfRule type="expression" dxfId="57" priority="5">
      <formula>LEN(TRIM($A2))=0</formula>
    </cfRule>
    <cfRule type="expression" dxfId="56" priority="6">
      <formula>LEN(TRIM($J2))=0</formula>
    </cfRule>
  </conditionalFormatting>
  <conditionalFormatting sqref="I2:L9996">
    <cfRule type="expression" dxfId="55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 x14ac:dyDescent="0.3"/>
  <cols>
    <col min="1" max="1" width="12" style="66" customWidth="1"/>
    <col min="2" max="2" width="20.5546875" style="66" customWidth="1"/>
    <col min="3" max="3" width="18.109375" style="66" bestFit="1" customWidth="1"/>
    <col min="4" max="4" width="16.5546875" style="66" bestFit="1" customWidth="1"/>
    <col min="5" max="5" width="21.88671875" style="66" customWidth="1"/>
    <col min="6" max="6" width="20" style="66" customWidth="1"/>
    <col min="7" max="7" width="21.109375" style="69" bestFit="1" customWidth="1"/>
    <col min="8" max="9" width="20" style="66" customWidth="1"/>
    <col min="10" max="10" width="15.88671875" style="66" bestFit="1" customWidth="1"/>
    <col min="11" max="11" width="18.33203125" style="66" bestFit="1" customWidth="1"/>
    <col min="12" max="15" width="20" style="66" customWidth="1"/>
    <col min="16" max="16384" width="12" style="1" hidden="1"/>
  </cols>
  <sheetData>
    <row r="1" spans="1:15" s="6" customFormat="1" ht="28.8" x14ac:dyDescent="0.3">
      <c r="A1" s="5" t="s">
        <v>129</v>
      </c>
      <c r="B1" s="6" t="s">
        <v>139</v>
      </c>
      <c r="C1" s="6" t="s">
        <v>547</v>
      </c>
      <c r="D1" s="6" t="s">
        <v>548</v>
      </c>
      <c r="E1" s="5" t="s">
        <v>549</v>
      </c>
      <c r="F1" s="6" t="s">
        <v>550</v>
      </c>
      <c r="G1" s="68" t="s">
        <v>551</v>
      </c>
      <c r="H1" s="6" t="s">
        <v>552</v>
      </c>
      <c r="I1" s="6" t="s">
        <v>553</v>
      </c>
      <c r="J1" s="6" t="s">
        <v>554</v>
      </c>
      <c r="K1" s="5" t="s">
        <v>555</v>
      </c>
      <c r="L1" s="6" t="s">
        <v>556</v>
      </c>
      <c r="M1" s="6" t="s">
        <v>557</v>
      </c>
      <c r="N1" s="6" t="s">
        <v>558</v>
      </c>
      <c r="O1" s="6" t="s">
        <v>559</v>
      </c>
    </row>
    <row r="2" spans="1:15" ht="72" x14ac:dyDescent="0.3">
      <c r="A2" s="65" t="s">
        <v>148</v>
      </c>
      <c r="B2" s="66" t="s">
        <v>560</v>
      </c>
      <c r="C2" s="67">
        <v>45973</v>
      </c>
      <c r="E2" s="65" t="s">
        <v>561</v>
      </c>
      <c r="F2" s="66" t="s">
        <v>562</v>
      </c>
      <c r="G2" s="69" t="s">
        <v>563</v>
      </c>
      <c r="H2" s="66" t="s">
        <v>154</v>
      </c>
      <c r="I2" s="66" t="s">
        <v>564</v>
      </c>
      <c r="J2" s="66" t="s">
        <v>377</v>
      </c>
      <c r="K2" s="65">
        <v>42988689045</v>
      </c>
    </row>
  </sheetData>
  <conditionalFormatting sqref="A2:O9997">
    <cfRule type="expression" dxfId="54" priority="1">
      <formula>$A2="REGISTRADO"</formula>
    </cfRule>
    <cfRule type="expression" dxfId="53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Z9" sqref="Z9"/>
    </sheetView>
  </sheetViews>
  <sheetFormatPr defaultColWidth="8.88671875" defaultRowHeight="12" customHeight="1" zeroHeight="1" x14ac:dyDescent="0.3"/>
  <cols>
    <col min="1" max="1" width="2.109375" style="2" bestFit="1" customWidth="1"/>
    <col min="2" max="2" width="11.6640625" style="2" bestFit="1" customWidth="1"/>
    <col min="3" max="3" width="3.44140625" style="2" bestFit="1" customWidth="1"/>
    <col min="4" max="5" width="6.33203125" style="2" bestFit="1" customWidth="1"/>
    <col min="6" max="6" width="4" style="163" bestFit="1" customWidth="1"/>
    <col min="7" max="8" width="4.6640625" style="163" bestFit="1" customWidth="1"/>
    <col min="9" max="9" width="5" style="163" bestFit="1" customWidth="1"/>
    <col min="10" max="10" width="5.5546875" style="164" bestFit="1" customWidth="1"/>
    <col min="11" max="11" width="28.88671875" style="2" bestFit="1" customWidth="1"/>
    <col min="12" max="12" width="4.6640625" style="7" bestFit="1" customWidth="1"/>
    <col min="13" max="13" width="1.6640625" style="7" customWidth="1"/>
    <col min="14" max="14" width="8.33203125" style="2" bestFit="1" customWidth="1"/>
    <col min="15" max="15" width="14.33203125" style="2" bestFit="1" customWidth="1"/>
    <col min="16" max="16" width="41.5546875" style="2" bestFit="1" customWidth="1"/>
    <col min="17" max="17" width="21.5546875" style="2" bestFit="1" customWidth="1"/>
    <col min="18" max="18" width="23.109375" style="2" bestFit="1" customWidth="1"/>
    <col min="19" max="19" width="9.6640625" style="2" bestFit="1" customWidth="1"/>
    <col min="20" max="20" width="4.6640625" style="7" bestFit="1" customWidth="1"/>
    <col min="21" max="21" width="1.6640625" style="7" customWidth="1"/>
    <col min="22" max="22" width="2" style="7" bestFit="1" customWidth="1"/>
    <col min="23" max="23" width="59.109375" style="8" bestFit="1" customWidth="1"/>
    <col min="24" max="24" width="11.6640625" style="44" bestFit="1" customWidth="1"/>
    <col min="25" max="25" width="1.6640625" style="7" customWidth="1"/>
    <col min="26" max="26" width="16.5546875" style="7" bestFit="1" customWidth="1"/>
    <col min="27" max="27" width="53.109375" style="7" bestFit="1" customWidth="1"/>
    <col min="28" max="28" width="10.6640625" style="7" bestFit="1" customWidth="1"/>
    <col min="29" max="16384" width="8.88671875" style="7"/>
  </cols>
  <sheetData>
    <row r="1" spans="1:28" ht="14.4" customHeight="1" x14ac:dyDescent="0.3">
      <c r="A1" s="157" t="s">
        <v>565</v>
      </c>
      <c r="B1" s="157" t="s">
        <v>566</v>
      </c>
      <c r="C1" s="157" t="s">
        <v>567</v>
      </c>
      <c r="D1" s="157" t="s">
        <v>568</v>
      </c>
      <c r="E1" s="157" t="s">
        <v>142</v>
      </c>
      <c r="F1" s="158" t="s">
        <v>569</v>
      </c>
      <c r="G1" s="158" t="s">
        <v>570</v>
      </c>
      <c r="H1" s="158" t="s">
        <v>571</v>
      </c>
      <c r="I1" s="158" t="s">
        <v>572</v>
      </c>
      <c r="J1" s="159" t="s">
        <v>573</v>
      </c>
      <c r="K1" s="157" t="s">
        <v>574</v>
      </c>
      <c r="L1" s="248" t="s">
        <v>556</v>
      </c>
      <c r="N1" s="157" t="s">
        <v>394</v>
      </c>
      <c r="O1" s="165" t="s">
        <v>575</v>
      </c>
      <c r="P1" s="157" t="s">
        <v>576</v>
      </c>
      <c r="Q1" s="157" t="s">
        <v>577</v>
      </c>
      <c r="R1" s="157" t="s">
        <v>578</v>
      </c>
      <c r="S1" s="154" t="s">
        <v>142</v>
      </c>
      <c r="T1" s="248" t="s">
        <v>579</v>
      </c>
      <c r="V1" s="7">
        <v>1</v>
      </c>
      <c r="W1" s="58" t="s">
        <v>580</v>
      </c>
      <c r="X1" s="44" t="s">
        <v>581</v>
      </c>
      <c r="Z1" s="59" t="s">
        <v>394</v>
      </c>
      <c r="AA1" s="60" t="s">
        <v>582</v>
      </c>
      <c r="AB1" s="49"/>
    </row>
    <row r="2" spans="1:28" x14ac:dyDescent="0.3">
      <c r="A2" s="160">
        <v>1</v>
      </c>
      <c r="B2" s="160" t="s">
        <v>583</v>
      </c>
      <c r="C2" s="160" t="s">
        <v>584</v>
      </c>
      <c r="D2" s="160" t="s">
        <v>585</v>
      </c>
      <c r="E2" s="160" t="s">
        <v>586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587</v>
      </c>
      <c r="Q2" s="160" t="s">
        <v>588</v>
      </c>
      <c r="R2" s="160" t="s">
        <v>589</v>
      </c>
      <c r="S2" s="2" t="s">
        <v>590</v>
      </c>
      <c r="T2" s="248"/>
      <c r="W2" s="8" t="s">
        <v>591</v>
      </c>
      <c r="Z2" s="45" t="s">
        <v>592</v>
      </c>
      <c r="AA2" s="46" t="s">
        <v>593</v>
      </c>
      <c r="AB2" s="47"/>
    </row>
    <row r="3" spans="1:28" x14ac:dyDescent="0.3">
      <c r="A3" s="160">
        <v>1</v>
      </c>
      <c r="B3" s="160" t="s">
        <v>594</v>
      </c>
      <c r="C3" s="160" t="s">
        <v>584</v>
      </c>
      <c r="D3" s="160" t="s">
        <v>595</v>
      </c>
      <c r="E3" s="160" t="s">
        <v>596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597</v>
      </c>
      <c r="Q3" s="160" t="s">
        <v>419</v>
      </c>
      <c r="R3" s="160" t="s">
        <v>598</v>
      </c>
      <c r="S3" s="2" t="s">
        <v>590</v>
      </c>
      <c r="T3" s="248"/>
      <c r="V3" s="7">
        <v>2</v>
      </c>
      <c r="W3" s="58" t="s">
        <v>599</v>
      </c>
      <c r="X3" s="44" t="s">
        <v>600</v>
      </c>
      <c r="Z3" s="45" t="s">
        <v>601</v>
      </c>
      <c r="AA3" s="46" t="s">
        <v>602</v>
      </c>
      <c r="AB3" s="47"/>
    </row>
    <row r="4" spans="1:28" x14ac:dyDescent="0.3">
      <c r="A4" s="160">
        <v>1</v>
      </c>
      <c r="B4" s="160" t="s">
        <v>594</v>
      </c>
      <c r="C4" s="160" t="s">
        <v>584</v>
      </c>
      <c r="D4" s="160" t="s">
        <v>595</v>
      </c>
      <c r="E4" s="160" t="s">
        <v>603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604</v>
      </c>
      <c r="Q4" s="160" t="s">
        <v>605</v>
      </c>
      <c r="R4" s="160" t="s">
        <v>606</v>
      </c>
      <c r="S4" s="155" t="s">
        <v>590</v>
      </c>
      <c r="T4" s="248"/>
      <c r="W4" s="8" t="s">
        <v>607</v>
      </c>
      <c r="Z4" s="45" t="s">
        <v>608</v>
      </c>
      <c r="AA4" s="46" t="s">
        <v>609</v>
      </c>
      <c r="AB4" s="47"/>
    </row>
    <row r="5" spans="1:28" x14ac:dyDescent="0.3">
      <c r="A5" s="160">
        <v>1</v>
      </c>
      <c r="B5" s="160" t="s">
        <v>594</v>
      </c>
      <c r="C5" s="160" t="s">
        <v>584</v>
      </c>
      <c r="D5" s="160" t="s">
        <v>595</v>
      </c>
      <c r="E5" s="160" t="s">
        <v>610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611</v>
      </c>
      <c r="Q5" s="160" t="s">
        <v>612</v>
      </c>
      <c r="R5" s="160" t="s">
        <v>613</v>
      </c>
      <c r="S5" s="2" t="s">
        <v>590</v>
      </c>
      <c r="T5" s="248"/>
      <c r="V5" s="7">
        <v>3</v>
      </c>
      <c r="W5" s="58" t="s">
        <v>614</v>
      </c>
      <c r="X5" s="44" t="s">
        <v>615</v>
      </c>
      <c r="Z5" s="45" t="s">
        <v>616</v>
      </c>
      <c r="AA5" s="46" t="s">
        <v>617</v>
      </c>
      <c r="AB5" s="47"/>
    </row>
    <row r="6" spans="1:28" x14ac:dyDescent="0.3">
      <c r="A6" s="160">
        <v>1</v>
      </c>
      <c r="B6" s="160" t="s">
        <v>594</v>
      </c>
      <c r="C6" s="160" t="s">
        <v>584</v>
      </c>
      <c r="D6" s="160" t="s">
        <v>618</v>
      </c>
      <c r="E6" s="160" t="s">
        <v>619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620</v>
      </c>
      <c r="Q6" s="160" t="s">
        <v>621</v>
      </c>
      <c r="R6" s="160" t="s">
        <v>622</v>
      </c>
      <c r="S6" s="2" t="s">
        <v>590</v>
      </c>
      <c r="T6" s="248"/>
      <c r="W6" s="8" t="s">
        <v>623</v>
      </c>
      <c r="Z6" s="45" t="s">
        <v>624</v>
      </c>
      <c r="AA6" s="46" t="s">
        <v>625</v>
      </c>
      <c r="AB6" s="48" t="s">
        <v>626</v>
      </c>
    </row>
    <row r="7" spans="1:28" x14ac:dyDescent="0.3">
      <c r="A7" s="160">
        <v>1</v>
      </c>
      <c r="B7" s="160" t="s">
        <v>594</v>
      </c>
      <c r="C7" s="160" t="s">
        <v>584</v>
      </c>
      <c r="D7" s="160" t="s">
        <v>627</v>
      </c>
      <c r="E7" s="160" t="s">
        <v>628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629</v>
      </c>
      <c r="Q7" s="160" t="s">
        <v>630</v>
      </c>
      <c r="R7" s="160" t="s">
        <v>631</v>
      </c>
      <c r="S7" s="155" t="s">
        <v>590</v>
      </c>
      <c r="T7" s="248"/>
      <c r="V7" s="7">
        <v>4</v>
      </c>
      <c r="W7" s="58" t="s">
        <v>632</v>
      </c>
      <c r="X7" s="44" t="s">
        <v>633</v>
      </c>
      <c r="Z7" s="45" t="s">
        <v>634</v>
      </c>
      <c r="AA7" s="46" t="s">
        <v>635</v>
      </c>
      <c r="AB7" s="48"/>
    </row>
    <row r="8" spans="1:28" x14ac:dyDescent="0.3">
      <c r="A8" s="160">
        <v>1</v>
      </c>
      <c r="B8" s="160" t="s">
        <v>594</v>
      </c>
      <c r="C8" s="160" t="s">
        <v>584</v>
      </c>
      <c r="D8" s="160" t="s">
        <v>636</v>
      </c>
      <c r="E8" s="160" t="s">
        <v>637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638</v>
      </c>
      <c r="Q8" s="160" t="s">
        <v>639</v>
      </c>
      <c r="R8" s="160" t="s">
        <v>640</v>
      </c>
      <c r="S8" s="155" t="s">
        <v>590</v>
      </c>
      <c r="T8" s="248"/>
      <c r="W8" s="8" t="s">
        <v>641</v>
      </c>
      <c r="Z8" s="59" t="s">
        <v>394</v>
      </c>
      <c r="AA8" s="60" t="s">
        <v>642</v>
      </c>
      <c r="AB8" s="49"/>
    </row>
    <row r="9" spans="1:28" x14ac:dyDescent="0.3">
      <c r="A9" s="160">
        <v>1</v>
      </c>
      <c r="B9" s="160" t="s">
        <v>594</v>
      </c>
      <c r="C9" s="160" t="s">
        <v>584</v>
      </c>
      <c r="D9" s="160" t="s">
        <v>643</v>
      </c>
      <c r="E9" s="160" t="s">
        <v>644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645</v>
      </c>
      <c r="Q9" s="160" t="s">
        <v>646</v>
      </c>
      <c r="R9" s="160" t="s">
        <v>647</v>
      </c>
      <c r="S9" s="155" t="s">
        <v>590</v>
      </c>
      <c r="T9" s="248"/>
      <c r="V9" s="7">
        <v>5</v>
      </c>
      <c r="W9" s="58" t="s">
        <v>648</v>
      </c>
      <c r="X9" s="44" t="s">
        <v>649</v>
      </c>
      <c r="Z9" s="45">
        <v>101001</v>
      </c>
      <c r="AA9" s="46" t="s">
        <v>650</v>
      </c>
      <c r="AB9" s="47"/>
    </row>
    <row r="10" spans="1:28" x14ac:dyDescent="0.3">
      <c r="A10" s="160">
        <v>1</v>
      </c>
      <c r="B10" s="160" t="s">
        <v>651</v>
      </c>
      <c r="C10" s="160" t="s">
        <v>584</v>
      </c>
      <c r="D10" s="160" t="s">
        <v>652</v>
      </c>
      <c r="E10" s="160" t="s">
        <v>653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654</v>
      </c>
      <c r="Q10" s="160" t="s">
        <v>430</v>
      </c>
      <c r="R10" s="160" t="s">
        <v>655</v>
      </c>
      <c r="S10" s="155" t="s">
        <v>590</v>
      </c>
      <c r="T10" s="248"/>
      <c r="W10" s="8" t="s">
        <v>656</v>
      </c>
      <c r="Z10" s="45">
        <v>105001</v>
      </c>
      <c r="AA10" s="46" t="s">
        <v>657</v>
      </c>
      <c r="AB10" s="47"/>
    </row>
    <row r="11" spans="1:28" x14ac:dyDescent="0.3">
      <c r="A11" s="160">
        <v>1</v>
      </c>
      <c r="B11" s="160" t="s">
        <v>651</v>
      </c>
      <c r="C11" s="160" t="s">
        <v>584</v>
      </c>
      <c r="D11" s="160" t="s">
        <v>658</v>
      </c>
      <c r="E11" s="160" t="s">
        <v>659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660</v>
      </c>
      <c r="Q11" s="160" t="s">
        <v>661</v>
      </c>
      <c r="R11" s="160" t="s">
        <v>662</v>
      </c>
      <c r="S11" s="155" t="s">
        <v>590</v>
      </c>
      <c r="T11" s="248"/>
      <c r="V11" s="7">
        <v>6</v>
      </c>
      <c r="W11" s="58" t="s">
        <v>663</v>
      </c>
      <c r="X11" s="44" t="s">
        <v>664</v>
      </c>
      <c r="Z11" s="45">
        <v>105003</v>
      </c>
      <c r="AA11" s="46" t="s">
        <v>665</v>
      </c>
      <c r="AB11" s="47"/>
    </row>
    <row r="12" spans="1:28" x14ac:dyDescent="0.3">
      <c r="A12" s="160">
        <v>1</v>
      </c>
      <c r="B12" s="160" t="s">
        <v>651</v>
      </c>
      <c r="C12" s="160" t="s">
        <v>584</v>
      </c>
      <c r="D12" s="160" t="s">
        <v>666</v>
      </c>
      <c r="E12" s="160" t="s">
        <v>667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668</v>
      </c>
      <c r="Q12" s="160" t="s">
        <v>669</v>
      </c>
      <c r="R12" s="160" t="s">
        <v>606</v>
      </c>
      <c r="S12" s="155" t="s">
        <v>590</v>
      </c>
      <c r="T12" s="248"/>
      <c r="W12" s="8" t="s">
        <v>670</v>
      </c>
      <c r="Z12" s="45">
        <v>110002</v>
      </c>
      <c r="AA12" s="46" t="s">
        <v>671</v>
      </c>
      <c r="AB12" s="47"/>
    </row>
    <row r="13" spans="1:28" x14ac:dyDescent="0.3">
      <c r="A13" s="160">
        <v>1</v>
      </c>
      <c r="B13" s="160" t="s">
        <v>651</v>
      </c>
      <c r="C13" s="160" t="s">
        <v>584</v>
      </c>
      <c r="D13" s="160" t="s">
        <v>672</v>
      </c>
      <c r="E13" s="160" t="s">
        <v>673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674</v>
      </c>
      <c r="Q13" s="160" t="s">
        <v>675</v>
      </c>
      <c r="R13" s="160" t="s">
        <v>606</v>
      </c>
      <c r="S13" s="155" t="s">
        <v>590</v>
      </c>
      <c r="T13" s="248"/>
      <c r="V13" s="7">
        <v>7</v>
      </c>
      <c r="W13" s="58" t="s">
        <v>676</v>
      </c>
      <c r="X13" s="44" t="s">
        <v>677</v>
      </c>
      <c r="Z13" s="45">
        <v>101003</v>
      </c>
      <c r="AA13" s="46" t="s">
        <v>678</v>
      </c>
      <c r="AB13" s="47"/>
    </row>
    <row r="14" spans="1:28" x14ac:dyDescent="0.3">
      <c r="A14" s="160">
        <v>1</v>
      </c>
      <c r="B14" s="160" t="s">
        <v>651</v>
      </c>
      <c r="C14" s="160" t="s">
        <v>584</v>
      </c>
      <c r="D14" s="160" t="s">
        <v>672</v>
      </c>
      <c r="E14" s="160" t="s">
        <v>679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680</v>
      </c>
      <c r="Q14" s="160" t="s">
        <v>681</v>
      </c>
      <c r="R14" s="160" t="s">
        <v>631</v>
      </c>
      <c r="S14" s="155" t="s">
        <v>590</v>
      </c>
      <c r="T14" s="248"/>
      <c r="W14" s="8" t="s">
        <v>682</v>
      </c>
      <c r="Z14" s="45">
        <v>115004</v>
      </c>
      <c r="AA14" s="46" t="s">
        <v>683</v>
      </c>
      <c r="AB14" s="47"/>
    </row>
    <row r="15" spans="1:28" x14ac:dyDescent="0.3">
      <c r="A15" s="160">
        <v>1</v>
      </c>
      <c r="B15" s="160" t="s">
        <v>651</v>
      </c>
      <c r="C15" s="160" t="s">
        <v>584</v>
      </c>
      <c r="D15" s="160" t="s">
        <v>684</v>
      </c>
      <c r="E15" s="160" t="s">
        <v>685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686</v>
      </c>
      <c r="Q15" s="160" t="s">
        <v>687</v>
      </c>
      <c r="R15" s="160" t="s">
        <v>631</v>
      </c>
      <c r="S15" s="155" t="s">
        <v>590</v>
      </c>
      <c r="T15" s="248"/>
      <c r="V15" s="7">
        <v>8</v>
      </c>
      <c r="W15" s="58" t="s">
        <v>688</v>
      </c>
      <c r="X15" s="44" t="s">
        <v>689</v>
      </c>
      <c r="Z15" s="45">
        <v>120007</v>
      </c>
      <c r="AA15" s="50" t="s">
        <v>690</v>
      </c>
      <c r="AB15" s="51"/>
    </row>
    <row r="16" spans="1:28" x14ac:dyDescent="0.3">
      <c r="A16" s="160">
        <v>1</v>
      </c>
      <c r="B16" s="160" t="s">
        <v>651</v>
      </c>
      <c r="C16" s="160" t="s">
        <v>584</v>
      </c>
      <c r="D16" s="160" t="s">
        <v>684</v>
      </c>
      <c r="E16" s="160" t="s">
        <v>691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692</v>
      </c>
      <c r="Q16" s="160" t="s">
        <v>693</v>
      </c>
      <c r="R16" s="160" t="s">
        <v>622</v>
      </c>
      <c r="S16" s="155" t="s">
        <v>590</v>
      </c>
      <c r="T16" s="248"/>
      <c r="W16" s="8" t="s">
        <v>694</v>
      </c>
      <c r="Z16" s="45">
        <v>120006</v>
      </c>
      <c r="AA16" s="50" t="s">
        <v>695</v>
      </c>
      <c r="AB16" s="51"/>
    </row>
    <row r="17" spans="1:28" x14ac:dyDescent="0.3">
      <c r="A17" s="160">
        <v>1</v>
      </c>
      <c r="B17" s="160" t="s">
        <v>651</v>
      </c>
      <c r="C17" s="160" t="s">
        <v>584</v>
      </c>
      <c r="D17" s="160" t="s">
        <v>696</v>
      </c>
      <c r="E17" s="160" t="s">
        <v>697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698</v>
      </c>
      <c r="Q17" s="160" t="s">
        <v>699</v>
      </c>
      <c r="R17" s="160" t="s">
        <v>700</v>
      </c>
      <c r="S17" s="155" t="s">
        <v>590</v>
      </c>
      <c r="T17" s="248"/>
      <c r="W17" s="7"/>
      <c r="X17" s="44" t="s">
        <v>701</v>
      </c>
      <c r="Z17" s="59" t="s">
        <v>702</v>
      </c>
      <c r="AA17" s="60" t="s">
        <v>703</v>
      </c>
      <c r="AB17" s="49"/>
    </row>
    <row r="18" spans="1:28" x14ac:dyDescent="0.3">
      <c r="A18" s="160">
        <v>1</v>
      </c>
      <c r="B18" s="160" t="s">
        <v>651</v>
      </c>
      <c r="C18" s="160" t="s">
        <v>584</v>
      </c>
      <c r="D18" s="160" t="s">
        <v>696</v>
      </c>
      <c r="E18" s="160" t="s">
        <v>704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705</v>
      </c>
      <c r="Q18" s="160" t="s">
        <v>706</v>
      </c>
      <c r="R18" s="160" t="s">
        <v>622</v>
      </c>
      <c r="S18" s="155" t="s">
        <v>590</v>
      </c>
      <c r="T18" s="248"/>
      <c r="W18" s="7"/>
      <c r="X18" s="44" t="s">
        <v>707</v>
      </c>
      <c r="Z18" s="46" t="s">
        <v>708</v>
      </c>
      <c r="AA18" s="52" t="s">
        <v>709</v>
      </c>
      <c r="AB18" s="48" t="s">
        <v>710</v>
      </c>
    </row>
    <row r="19" spans="1:28" x14ac:dyDescent="0.3">
      <c r="A19" s="160">
        <v>1</v>
      </c>
      <c r="B19" s="160" t="s">
        <v>651</v>
      </c>
      <c r="C19" s="160" t="s">
        <v>584</v>
      </c>
      <c r="D19" s="160" t="s">
        <v>711</v>
      </c>
      <c r="E19" s="160" t="s">
        <v>712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713</v>
      </c>
      <c r="Q19" s="160" t="s">
        <v>714</v>
      </c>
      <c r="R19" s="160" t="s">
        <v>715</v>
      </c>
      <c r="S19" s="155" t="s">
        <v>590</v>
      </c>
      <c r="T19" s="248"/>
      <c r="W19" s="7"/>
      <c r="Z19" s="46" t="s">
        <v>716</v>
      </c>
      <c r="AA19" s="52" t="s">
        <v>717</v>
      </c>
      <c r="AB19" s="48" t="s">
        <v>718</v>
      </c>
    </row>
    <row r="20" spans="1:28" x14ac:dyDescent="0.3">
      <c r="A20" s="160">
        <v>1</v>
      </c>
      <c r="B20" s="160" t="s">
        <v>651</v>
      </c>
      <c r="C20" s="160" t="s">
        <v>584</v>
      </c>
      <c r="D20" s="160" t="s">
        <v>711</v>
      </c>
      <c r="E20" s="160" t="s">
        <v>719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720</v>
      </c>
      <c r="Q20" s="160" t="s">
        <v>721</v>
      </c>
      <c r="R20" s="160" t="s">
        <v>722</v>
      </c>
      <c r="S20" s="155" t="s">
        <v>590</v>
      </c>
      <c r="T20" s="248"/>
      <c r="W20" s="17" t="s">
        <v>723</v>
      </c>
      <c r="Z20" s="61" t="s">
        <v>15</v>
      </c>
      <c r="AA20" s="61" t="s">
        <v>724</v>
      </c>
      <c r="AB20" s="49"/>
    </row>
    <row r="21" spans="1:28" x14ac:dyDescent="0.3">
      <c r="A21" s="160">
        <v>1</v>
      </c>
      <c r="B21" s="160" t="s">
        <v>651</v>
      </c>
      <c r="C21" s="160" t="s">
        <v>584</v>
      </c>
      <c r="D21" s="160" t="s">
        <v>725</v>
      </c>
      <c r="E21" s="160" t="s">
        <v>726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727</v>
      </c>
      <c r="Q21" s="160" t="s">
        <v>728</v>
      </c>
      <c r="R21" s="160" t="s">
        <v>647</v>
      </c>
      <c r="S21" s="155" t="s">
        <v>590</v>
      </c>
      <c r="W21" s="18" t="s">
        <v>729</v>
      </c>
      <c r="Z21" s="53" t="s">
        <v>730</v>
      </c>
      <c r="AA21" s="53" t="s">
        <v>731</v>
      </c>
      <c r="AB21" s="54"/>
    </row>
    <row r="22" spans="1:28" x14ac:dyDescent="0.3">
      <c r="A22" s="160">
        <v>1</v>
      </c>
      <c r="B22" s="160" t="s">
        <v>651</v>
      </c>
      <c r="C22" s="160" t="s">
        <v>584</v>
      </c>
      <c r="D22" s="160" t="s">
        <v>725</v>
      </c>
      <c r="E22" s="160" t="s">
        <v>732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733</v>
      </c>
      <c r="Q22" s="160" t="s">
        <v>468</v>
      </c>
      <c r="R22" s="160" t="s">
        <v>606</v>
      </c>
      <c r="S22" s="155" t="s">
        <v>590</v>
      </c>
      <c r="W22" s="18" t="s">
        <v>734</v>
      </c>
      <c r="X22" s="7"/>
      <c r="Z22" s="53" t="s">
        <v>735</v>
      </c>
      <c r="AA22" s="53" t="s">
        <v>736</v>
      </c>
      <c r="AB22" s="54"/>
    </row>
    <row r="23" spans="1:28" x14ac:dyDescent="0.3">
      <c r="A23" s="160">
        <v>1</v>
      </c>
      <c r="B23" s="160" t="s">
        <v>737</v>
      </c>
      <c r="C23" s="160" t="s">
        <v>584</v>
      </c>
      <c r="D23" s="160" t="s">
        <v>738</v>
      </c>
      <c r="E23" s="160" t="s">
        <v>739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740</v>
      </c>
      <c r="Q23" s="160" t="s">
        <v>741</v>
      </c>
      <c r="R23" s="160" t="s">
        <v>742</v>
      </c>
      <c r="S23" s="155" t="s">
        <v>590</v>
      </c>
      <c r="W23" s="18" t="s">
        <v>743</v>
      </c>
      <c r="X23" s="7"/>
      <c r="Z23" s="53" t="s">
        <v>744</v>
      </c>
      <c r="AA23" s="53" t="s">
        <v>745</v>
      </c>
      <c r="AB23" s="54"/>
    </row>
    <row r="24" spans="1:28" x14ac:dyDescent="0.3">
      <c r="A24" s="160">
        <v>1</v>
      </c>
      <c r="B24" s="160" t="s">
        <v>737</v>
      </c>
      <c r="C24" s="160" t="s">
        <v>584</v>
      </c>
      <c r="D24" s="160" t="s">
        <v>746</v>
      </c>
      <c r="E24" s="160" t="s">
        <v>747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748</v>
      </c>
      <c r="Q24" s="160" t="s">
        <v>471</v>
      </c>
      <c r="R24" s="160" t="s">
        <v>647</v>
      </c>
      <c r="S24" s="2" t="s">
        <v>590</v>
      </c>
      <c r="W24" s="18" t="s">
        <v>749</v>
      </c>
      <c r="X24" s="7"/>
    </row>
    <row r="25" spans="1:28" x14ac:dyDescent="0.3">
      <c r="A25" s="160">
        <v>1</v>
      </c>
      <c r="B25" s="160" t="s">
        <v>737</v>
      </c>
      <c r="C25" s="160" t="s">
        <v>584</v>
      </c>
      <c r="D25" s="160" t="s">
        <v>750</v>
      </c>
      <c r="E25" s="160" t="s">
        <v>751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752</v>
      </c>
      <c r="Q25" s="160" t="s">
        <v>753</v>
      </c>
      <c r="R25" s="160" t="s">
        <v>647</v>
      </c>
      <c r="S25" s="155" t="s">
        <v>590</v>
      </c>
      <c r="W25" s="18" t="s">
        <v>754</v>
      </c>
      <c r="X25" s="7"/>
    </row>
    <row r="26" spans="1:28" ht="14.4" customHeight="1" x14ac:dyDescent="0.3">
      <c r="A26" s="160">
        <v>1</v>
      </c>
      <c r="B26" s="160" t="s">
        <v>755</v>
      </c>
      <c r="C26" s="160" t="s">
        <v>584</v>
      </c>
      <c r="D26" s="160" t="s">
        <v>756</v>
      </c>
      <c r="E26" s="160" t="s">
        <v>757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758</v>
      </c>
      <c r="Q26" s="160" t="s">
        <v>475</v>
      </c>
      <c r="R26" s="160" t="s">
        <v>662</v>
      </c>
      <c r="S26" s="155" t="s">
        <v>590</v>
      </c>
      <c r="W26" s="18" t="s">
        <v>759</v>
      </c>
      <c r="X26" s="7"/>
      <c r="Z26" s="249" t="s">
        <v>760</v>
      </c>
      <c r="AA26" s="249"/>
      <c r="AB26" s="249"/>
    </row>
    <row r="27" spans="1:28" x14ac:dyDescent="0.3">
      <c r="A27" s="160">
        <v>1</v>
      </c>
      <c r="B27" s="160" t="s">
        <v>755</v>
      </c>
      <c r="C27" s="160" t="s">
        <v>584</v>
      </c>
      <c r="D27" s="160" t="s">
        <v>761</v>
      </c>
      <c r="E27" s="160" t="s">
        <v>762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763</v>
      </c>
      <c r="Q27" s="160" t="s">
        <v>764</v>
      </c>
      <c r="R27" s="160" t="s">
        <v>662</v>
      </c>
      <c r="S27" s="155" t="s">
        <v>590</v>
      </c>
      <c r="W27" s="18" t="s">
        <v>765</v>
      </c>
      <c r="X27" s="7"/>
      <c r="Z27" s="62" t="s">
        <v>766</v>
      </c>
      <c r="AA27" s="62" t="s">
        <v>767</v>
      </c>
      <c r="AB27" s="62" t="s">
        <v>768</v>
      </c>
    </row>
    <row r="28" spans="1:28" x14ac:dyDescent="0.3">
      <c r="A28" s="160">
        <v>1</v>
      </c>
      <c r="B28" s="160" t="s">
        <v>755</v>
      </c>
      <c r="C28" s="160" t="s">
        <v>584</v>
      </c>
      <c r="D28" s="160" t="s">
        <v>769</v>
      </c>
      <c r="E28" s="160" t="s">
        <v>770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771</v>
      </c>
      <c r="Q28" s="160" t="s">
        <v>772</v>
      </c>
      <c r="R28" s="160" t="s">
        <v>662</v>
      </c>
      <c r="S28" s="2" t="s">
        <v>590</v>
      </c>
      <c r="W28" s="18" t="s">
        <v>773</v>
      </c>
      <c r="X28" s="7"/>
      <c r="Z28" s="56" t="s">
        <v>412</v>
      </c>
      <c r="AA28" s="55" t="s">
        <v>46</v>
      </c>
      <c r="AB28" s="55" t="s">
        <v>774</v>
      </c>
    </row>
    <row r="29" spans="1:28" x14ac:dyDescent="0.3">
      <c r="A29" s="160">
        <v>1</v>
      </c>
      <c r="B29" s="160" t="s">
        <v>755</v>
      </c>
      <c r="C29" s="160" t="s">
        <v>584</v>
      </c>
      <c r="D29" s="160" t="s">
        <v>775</v>
      </c>
      <c r="E29" s="160" t="s">
        <v>776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777</v>
      </c>
      <c r="Q29" s="160" t="s">
        <v>778</v>
      </c>
      <c r="R29" s="160" t="s">
        <v>662</v>
      </c>
      <c r="S29" s="2" t="s">
        <v>590</v>
      </c>
      <c r="W29" s="18" t="s">
        <v>779</v>
      </c>
      <c r="X29" s="7"/>
      <c r="Z29" s="56" t="s">
        <v>312</v>
      </c>
      <c r="AA29" s="55" t="s">
        <v>780</v>
      </c>
      <c r="AB29" s="55" t="s">
        <v>781</v>
      </c>
    </row>
    <row r="30" spans="1:28" x14ac:dyDescent="0.3">
      <c r="A30" s="160">
        <v>1</v>
      </c>
      <c r="B30" s="160" t="s">
        <v>755</v>
      </c>
      <c r="C30" s="160" t="s">
        <v>584</v>
      </c>
      <c r="D30" s="160" t="s">
        <v>782</v>
      </c>
      <c r="E30" s="160" t="s">
        <v>783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784</v>
      </c>
      <c r="Q30" s="160" t="s">
        <v>785</v>
      </c>
      <c r="R30" s="160" t="s">
        <v>606</v>
      </c>
      <c r="S30" s="2" t="s">
        <v>590</v>
      </c>
      <c r="W30" s="18" t="s">
        <v>786</v>
      </c>
      <c r="X30" s="7"/>
      <c r="Z30" s="56" t="s">
        <v>153</v>
      </c>
      <c r="AA30" s="55" t="s">
        <v>787</v>
      </c>
      <c r="AB30" s="55" t="s">
        <v>788</v>
      </c>
    </row>
    <row r="31" spans="1:28" x14ac:dyDescent="0.3">
      <c r="A31" s="160">
        <v>1</v>
      </c>
      <c r="B31" s="160" t="s">
        <v>755</v>
      </c>
      <c r="C31" s="160" t="s">
        <v>584</v>
      </c>
      <c r="D31" s="160" t="s">
        <v>789</v>
      </c>
      <c r="E31" s="160" t="s">
        <v>790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791</v>
      </c>
      <c r="Q31" s="160" t="s">
        <v>792</v>
      </c>
      <c r="R31" s="160" t="s">
        <v>722</v>
      </c>
      <c r="S31" s="2" t="s">
        <v>590</v>
      </c>
      <c r="W31" s="18" t="s">
        <v>793</v>
      </c>
      <c r="X31" s="7"/>
      <c r="Z31" s="56" t="s">
        <v>205</v>
      </c>
      <c r="AA31" s="55" t="s">
        <v>794</v>
      </c>
      <c r="AB31" s="55" t="s">
        <v>795</v>
      </c>
    </row>
    <row r="32" spans="1:28" x14ac:dyDescent="0.3">
      <c r="A32" s="160">
        <v>1</v>
      </c>
      <c r="B32" s="160" t="s">
        <v>755</v>
      </c>
      <c r="C32" s="160" t="s">
        <v>584</v>
      </c>
      <c r="D32" s="160" t="s">
        <v>796</v>
      </c>
      <c r="E32" s="160" t="s">
        <v>797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798</v>
      </c>
      <c r="Q32" s="160" t="s">
        <v>480</v>
      </c>
      <c r="R32" s="160" t="s">
        <v>622</v>
      </c>
      <c r="S32" s="2" t="s">
        <v>590</v>
      </c>
      <c r="W32" s="18" t="s">
        <v>799</v>
      </c>
      <c r="X32" s="7"/>
      <c r="Z32" s="56" t="s">
        <v>172</v>
      </c>
      <c r="AA32" s="55" t="s">
        <v>800</v>
      </c>
      <c r="AB32" s="55" t="s">
        <v>801</v>
      </c>
    </row>
    <row r="33" spans="1:28" x14ac:dyDescent="0.3">
      <c r="A33" s="160">
        <v>1</v>
      </c>
      <c r="B33" s="160" t="s">
        <v>802</v>
      </c>
      <c r="C33" s="160" t="s">
        <v>584</v>
      </c>
      <c r="D33" s="160" t="s">
        <v>803</v>
      </c>
      <c r="E33" s="160" t="s">
        <v>803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804</v>
      </c>
      <c r="Q33" s="160" t="s">
        <v>805</v>
      </c>
      <c r="R33" s="160" t="s">
        <v>806</v>
      </c>
      <c r="S33" s="2" t="s">
        <v>590</v>
      </c>
      <c r="W33" s="18" t="s">
        <v>807</v>
      </c>
      <c r="X33" s="7"/>
      <c r="Z33" s="56" t="s">
        <v>808</v>
      </c>
      <c r="AA33" s="55" t="s">
        <v>809</v>
      </c>
      <c r="AB33" s="55" t="s">
        <v>810</v>
      </c>
    </row>
    <row r="34" spans="1:28" x14ac:dyDescent="0.3">
      <c r="A34" s="160">
        <v>1</v>
      </c>
      <c r="B34" s="160" t="s">
        <v>802</v>
      </c>
      <c r="C34" s="160" t="s">
        <v>584</v>
      </c>
      <c r="D34" s="160" t="s">
        <v>811</v>
      </c>
      <c r="E34" s="160" t="s">
        <v>811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812</v>
      </c>
      <c r="Q34" s="160" t="s">
        <v>813</v>
      </c>
      <c r="R34" s="160" t="s">
        <v>814</v>
      </c>
      <c r="S34" s="155" t="s">
        <v>590</v>
      </c>
      <c r="W34" s="57" t="s">
        <v>815</v>
      </c>
      <c r="X34" s="7"/>
      <c r="Z34" s="56" t="s">
        <v>816</v>
      </c>
      <c r="AA34" s="55" t="s">
        <v>817</v>
      </c>
      <c r="AB34" s="55" t="s">
        <v>818</v>
      </c>
    </row>
    <row r="35" spans="1:28" x14ac:dyDescent="0.3">
      <c r="A35" s="160">
        <v>1</v>
      </c>
      <c r="B35" s="160" t="s">
        <v>802</v>
      </c>
      <c r="C35" s="160" t="s">
        <v>584</v>
      </c>
      <c r="D35" s="160" t="s">
        <v>819</v>
      </c>
      <c r="E35" s="160" t="s">
        <v>819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820</v>
      </c>
      <c r="Q35" s="160" t="s">
        <v>821</v>
      </c>
      <c r="R35" s="160" t="s">
        <v>822</v>
      </c>
      <c r="S35" s="155" t="s">
        <v>590</v>
      </c>
      <c r="W35" s="57" t="s">
        <v>823</v>
      </c>
      <c r="X35" s="7"/>
      <c r="Z35" s="56" t="s">
        <v>377</v>
      </c>
      <c r="AA35" s="55" t="s">
        <v>824</v>
      </c>
      <c r="AB35" s="55" t="s">
        <v>825</v>
      </c>
    </row>
    <row r="36" spans="1:28" x14ac:dyDescent="0.3">
      <c r="A36" s="160">
        <v>1</v>
      </c>
      <c r="B36" s="160" t="s">
        <v>802</v>
      </c>
      <c r="C36" s="160" t="s">
        <v>584</v>
      </c>
      <c r="D36" s="160" t="s">
        <v>826</v>
      </c>
      <c r="E36" s="160" t="s">
        <v>826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827</v>
      </c>
      <c r="Q36" s="160" t="s">
        <v>828</v>
      </c>
      <c r="R36" s="160" t="s">
        <v>598</v>
      </c>
      <c r="S36" s="2" t="s">
        <v>590</v>
      </c>
      <c r="W36" s="57" t="s">
        <v>829</v>
      </c>
      <c r="X36" s="7"/>
    </row>
    <row r="37" spans="1:28" x14ac:dyDescent="0.3">
      <c r="A37" s="160">
        <v>1</v>
      </c>
      <c r="B37" s="160" t="s">
        <v>802</v>
      </c>
      <c r="C37" s="160" t="s">
        <v>584</v>
      </c>
      <c r="D37" s="160" t="s">
        <v>830</v>
      </c>
      <c r="E37" s="160" t="s">
        <v>830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831</v>
      </c>
      <c r="Q37" s="160" t="s">
        <v>832</v>
      </c>
      <c r="R37" s="160" t="s">
        <v>655</v>
      </c>
      <c r="S37" s="2" t="s">
        <v>590</v>
      </c>
      <c r="W37" s="57" t="s">
        <v>833</v>
      </c>
      <c r="X37" s="7"/>
    </row>
    <row r="38" spans="1:28" x14ac:dyDescent="0.3">
      <c r="A38" s="160">
        <v>1</v>
      </c>
      <c r="B38" s="160" t="s">
        <v>802</v>
      </c>
      <c r="C38" s="160" t="s">
        <v>584</v>
      </c>
      <c r="D38" s="160" t="s">
        <v>834</v>
      </c>
      <c r="E38" s="160" t="s">
        <v>834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835</v>
      </c>
      <c r="Q38" s="160" t="s">
        <v>836</v>
      </c>
      <c r="R38" s="160" t="s">
        <v>606</v>
      </c>
      <c r="S38" s="155" t="s">
        <v>590</v>
      </c>
      <c r="W38" s="7"/>
      <c r="X38" s="7"/>
      <c r="AA38" s="7" t="s">
        <v>837</v>
      </c>
    </row>
    <row r="39" spans="1:28" x14ac:dyDescent="0.3">
      <c r="A39" s="160">
        <v>1</v>
      </c>
      <c r="B39" s="160" t="s">
        <v>802</v>
      </c>
      <c r="C39" s="160" t="s">
        <v>584</v>
      </c>
      <c r="D39" s="160" t="s">
        <v>838</v>
      </c>
      <c r="E39" s="160" t="s">
        <v>838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839</v>
      </c>
      <c r="Q39" s="160" t="s">
        <v>536</v>
      </c>
      <c r="R39" s="160" t="s">
        <v>655</v>
      </c>
      <c r="S39" s="155" t="s">
        <v>590</v>
      </c>
      <c r="W39" s="7"/>
      <c r="X39" s="7"/>
    </row>
    <row r="40" spans="1:28" x14ac:dyDescent="0.3">
      <c r="A40" s="160">
        <v>1</v>
      </c>
      <c r="B40" s="160" t="s">
        <v>802</v>
      </c>
      <c r="C40" s="160" t="s">
        <v>584</v>
      </c>
      <c r="D40" s="160" t="s">
        <v>840</v>
      </c>
      <c r="E40" s="160" t="s">
        <v>840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841</v>
      </c>
      <c r="Q40" s="160" t="s">
        <v>842</v>
      </c>
      <c r="R40" s="160" t="s">
        <v>655</v>
      </c>
      <c r="S40" s="155" t="s">
        <v>590</v>
      </c>
      <c r="W40" s="7"/>
      <c r="X40" s="7"/>
    </row>
    <row r="41" spans="1:28" x14ac:dyDescent="0.3">
      <c r="A41" s="160">
        <v>1</v>
      </c>
      <c r="B41" s="160" t="s">
        <v>802</v>
      </c>
      <c r="C41" s="160" t="s">
        <v>584</v>
      </c>
      <c r="D41" s="160" t="s">
        <v>843</v>
      </c>
      <c r="E41" s="160" t="s">
        <v>843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844</v>
      </c>
      <c r="Q41" s="160" t="s">
        <v>845</v>
      </c>
      <c r="R41" s="160" t="s">
        <v>622</v>
      </c>
      <c r="S41" s="155" t="s">
        <v>590</v>
      </c>
      <c r="W41" s="7"/>
      <c r="X41" s="7"/>
    </row>
    <row r="42" spans="1:28" x14ac:dyDescent="0.3">
      <c r="A42" s="160">
        <v>2</v>
      </c>
      <c r="B42" s="160" t="s">
        <v>182</v>
      </c>
      <c r="C42" s="160" t="s">
        <v>846</v>
      </c>
      <c r="D42" s="160" t="s">
        <v>847</v>
      </c>
      <c r="E42" s="160" t="s">
        <v>847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848</v>
      </c>
      <c r="Q42" s="160" t="s">
        <v>446</v>
      </c>
      <c r="R42" s="160" t="s">
        <v>849</v>
      </c>
      <c r="S42" s="2" t="s">
        <v>850</v>
      </c>
      <c r="W42" s="7"/>
      <c r="X42" s="7"/>
    </row>
    <row r="43" spans="1:28" x14ac:dyDescent="0.3">
      <c r="A43" s="160">
        <v>2</v>
      </c>
      <c r="B43" s="160" t="s">
        <v>182</v>
      </c>
      <c r="C43" s="160" t="s">
        <v>846</v>
      </c>
      <c r="D43" s="160" t="s">
        <v>851</v>
      </c>
      <c r="E43" s="160" t="s">
        <v>851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852</v>
      </c>
      <c r="Q43" s="160" t="s">
        <v>414</v>
      </c>
      <c r="R43" s="160" t="s">
        <v>655</v>
      </c>
      <c r="S43" s="155" t="s">
        <v>850</v>
      </c>
      <c r="W43" s="7"/>
      <c r="X43" s="7"/>
    </row>
    <row r="44" spans="1:28" x14ac:dyDescent="0.3">
      <c r="A44" s="160">
        <v>2</v>
      </c>
      <c r="B44" s="160" t="s">
        <v>182</v>
      </c>
      <c r="C44" s="160" t="s">
        <v>846</v>
      </c>
      <c r="D44" s="160" t="s">
        <v>853</v>
      </c>
      <c r="E44" s="160" t="s">
        <v>853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854</v>
      </c>
      <c r="Q44" s="160" t="s">
        <v>855</v>
      </c>
      <c r="R44" s="160" t="s">
        <v>655</v>
      </c>
      <c r="S44" s="2" t="s">
        <v>850</v>
      </c>
      <c r="W44" s="7"/>
      <c r="X44" s="7"/>
    </row>
    <row r="45" spans="1:28" x14ac:dyDescent="0.3">
      <c r="A45" s="160">
        <v>2</v>
      </c>
      <c r="B45" s="160" t="s">
        <v>182</v>
      </c>
      <c r="C45" s="160" t="s">
        <v>846</v>
      </c>
      <c r="D45" s="160" t="s">
        <v>856</v>
      </c>
      <c r="E45" s="160" t="s">
        <v>856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857</v>
      </c>
      <c r="Q45" s="160" t="s">
        <v>858</v>
      </c>
      <c r="R45" s="160" t="s">
        <v>655</v>
      </c>
      <c r="S45" s="155" t="s">
        <v>850</v>
      </c>
      <c r="W45" s="7"/>
      <c r="X45" s="7"/>
    </row>
    <row r="46" spans="1:28" x14ac:dyDescent="0.3">
      <c r="A46" s="160">
        <v>2</v>
      </c>
      <c r="B46" s="160" t="s">
        <v>182</v>
      </c>
      <c r="C46" s="160" t="s">
        <v>846</v>
      </c>
      <c r="D46" s="160" t="s">
        <v>859</v>
      </c>
      <c r="E46" s="160" t="s">
        <v>859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860</v>
      </c>
      <c r="Q46" s="160" t="s">
        <v>861</v>
      </c>
      <c r="R46" s="160" t="s">
        <v>862</v>
      </c>
      <c r="S46" s="2" t="s">
        <v>850</v>
      </c>
      <c r="W46" s="7"/>
      <c r="X46" s="7"/>
    </row>
    <row r="47" spans="1:28" x14ac:dyDescent="0.3">
      <c r="A47" s="160">
        <v>2</v>
      </c>
      <c r="B47" s="160" t="s">
        <v>182</v>
      </c>
      <c r="C47" s="160" t="s">
        <v>846</v>
      </c>
      <c r="D47" s="160" t="s">
        <v>863</v>
      </c>
      <c r="E47" s="160" t="s">
        <v>863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860</v>
      </c>
      <c r="Q47" s="160" t="s">
        <v>861</v>
      </c>
      <c r="R47" s="160" t="s">
        <v>715</v>
      </c>
      <c r="S47" s="155" t="s">
        <v>850</v>
      </c>
      <c r="W47" s="7"/>
      <c r="X47" s="7"/>
    </row>
    <row r="48" spans="1:28" x14ac:dyDescent="0.3">
      <c r="A48" s="160">
        <v>2</v>
      </c>
      <c r="B48" s="160" t="s">
        <v>182</v>
      </c>
      <c r="C48" s="160" t="s">
        <v>846</v>
      </c>
      <c r="D48" s="160" t="s">
        <v>864</v>
      </c>
      <c r="E48" s="160" t="s">
        <v>864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860</v>
      </c>
      <c r="Q48" s="160" t="s">
        <v>861</v>
      </c>
      <c r="R48" s="160" t="s">
        <v>849</v>
      </c>
      <c r="S48" s="2" t="s">
        <v>850</v>
      </c>
      <c r="W48" s="7"/>
      <c r="X48" s="7"/>
    </row>
    <row r="49" spans="1:19" x14ac:dyDescent="0.3">
      <c r="A49" s="160">
        <v>2</v>
      </c>
      <c r="B49" s="160" t="s">
        <v>182</v>
      </c>
      <c r="C49" s="160" t="s">
        <v>846</v>
      </c>
      <c r="D49" s="160" t="s">
        <v>865</v>
      </c>
      <c r="E49" s="160" t="s">
        <v>865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860</v>
      </c>
      <c r="Q49" s="160" t="s">
        <v>861</v>
      </c>
      <c r="R49" s="160" t="s">
        <v>622</v>
      </c>
      <c r="S49" s="155" t="s">
        <v>850</v>
      </c>
    </row>
    <row r="50" spans="1:19" x14ac:dyDescent="0.3">
      <c r="A50" s="160">
        <v>2</v>
      </c>
      <c r="B50" s="160" t="s">
        <v>182</v>
      </c>
      <c r="C50" s="160" t="s">
        <v>846</v>
      </c>
      <c r="D50" s="160" t="s">
        <v>866</v>
      </c>
      <c r="E50" s="160" t="s">
        <v>866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860</v>
      </c>
      <c r="Q50" s="160" t="s">
        <v>861</v>
      </c>
      <c r="R50" s="160" t="s">
        <v>655</v>
      </c>
      <c r="S50" s="155" t="s">
        <v>850</v>
      </c>
    </row>
    <row r="51" spans="1:19" x14ac:dyDescent="0.3">
      <c r="A51" s="160">
        <v>2</v>
      </c>
      <c r="B51" s="160" t="s">
        <v>182</v>
      </c>
      <c r="C51" s="160" t="s">
        <v>846</v>
      </c>
      <c r="D51" s="160" t="s">
        <v>867</v>
      </c>
      <c r="E51" s="160" t="s">
        <v>867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860</v>
      </c>
      <c r="Q51" s="160" t="s">
        <v>861</v>
      </c>
      <c r="R51" s="160" t="s">
        <v>868</v>
      </c>
      <c r="S51" s="155" t="s">
        <v>850</v>
      </c>
    </row>
    <row r="52" spans="1:19" x14ac:dyDescent="0.3">
      <c r="A52" s="160">
        <v>2</v>
      </c>
      <c r="B52" s="160" t="s">
        <v>182</v>
      </c>
      <c r="C52" s="160" t="s">
        <v>846</v>
      </c>
      <c r="D52" s="160" t="s">
        <v>869</v>
      </c>
      <c r="E52" s="160" t="s">
        <v>869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870</v>
      </c>
      <c r="Q52" s="160" t="s">
        <v>871</v>
      </c>
      <c r="R52" s="160" t="s">
        <v>662</v>
      </c>
      <c r="S52" s="155" t="s">
        <v>850</v>
      </c>
    </row>
    <row r="53" spans="1:19" x14ac:dyDescent="0.3">
      <c r="A53" s="160">
        <v>2</v>
      </c>
      <c r="B53" s="160" t="s">
        <v>182</v>
      </c>
      <c r="C53" s="160" t="s">
        <v>846</v>
      </c>
      <c r="D53" s="160" t="s">
        <v>872</v>
      </c>
      <c r="E53" s="160" t="s">
        <v>872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870</v>
      </c>
      <c r="Q53" s="160" t="s">
        <v>871</v>
      </c>
      <c r="R53" s="160" t="s">
        <v>655</v>
      </c>
      <c r="S53" s="2" t="s">
        <v>850</v>
      </c>
    </row>
    <row r="54" spans="1:19" x14ac:dyDescent="0.3">
      <c r="A54" s="160">
        <v>3</v>
      </c>
      <c r="B54" s="160" t="s">
        <v>179</v>
      </c>
      <c r="C54" s="160" t="s">
        <v>873</v>
      </c>
      <c r="D54" s="160" t="s">
        <v>874</v>
      </c>
      <c r="E54" s="160" t="s">
        <v>875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876</v>
      </c>
      <c r="Q54" s="160" t="s">
        <v>441</v>
      </c>
      <c r="R54" s="160" t="s">
        <v>849</v>
      </c>
      <c r="S54" s="2" t="s">
        <v>850</v>
      </c>
    </row>
    <row r="55" spans="1:19" x14ac:dyDescent="0.3">
      <c r="A55" s="160">
        <v>3</v>
      </c>
      <c r="B55" s="160" t="s">
        <v>179</v>
      </c>
      <c r="C55" s="160" t="s">
        <v>873</v>
      </c>
      <c r="D55" s="160" t="s">
        <v>877</v>
      </c>
      <c r="E55" s="160" t="s">
        <v>878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879</v>
      </c>
      <c r="Q55" s="160" t="s">
        <v>450</v>
      </c>
      <c r="R55" s="160" t="s">
        <v>880</v>
      </c>
      <c r="S55" s="2" t="s">
        <v>850</v>
      </c>
    </row>
    <row r="56" spans="1:19" x14ac:dyDescent="0.3">
      <c r="A56" s="160">
        <v>3</v>
      </c>
      <c r="B56" s="160" t="s">
        <v>179</v>
      </c>
      <c r="C56" s="160" t="s">
        <v>873</v>
      </c>
      <c r="D56" s="160" t="s">
        <v>881</v>
      </c>
      <c r="E56" s="160" t="s">
        <v>882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883</v>
      </c>
      <c r="Q56" s="160" t="s">
        <v>884</v>
      </c>
      <c r="R56" s="160" t="s">
        <v>885</v>
      </c>
      <c r="S56" s="2" t="s">
        <v>850</v>
      </c>
    </row>
    <row r="57" spans="1:19" x14ac:dyDescent="0.3">
      <c r="A57" s="160">
        <v>3</v>
      </c>
      <c r="B57" s="160" t="s">
        <v>179</v>
      </c>
      <c r="C57" s="160" t="s">
        <v>873</v>
      </c>
      <c r="D57" s="160" t="s">
        <v>886</v>
      </c>
      <c r="E57" s="160" t="s">
        <v>887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888</v>
      </c>
      <c r="Q57" s="160" t="s">
        <v>889</v>
      </c>
      <c r="R57" s="160" t="s">
        <v>655</v>
      </c>
      <c r="S57" s="2" t="s">
        <v>850</v>
      </c>
    </row>
    <row r="58" spans="1:19" x14ac:dyDescent="0.3">
      <c r="A58" s="160">
        <v>3</v>
      </c>
      <c r="B58" s="160" t="s">
        <v>179</v>
      </c>
      <c r="C58" s="160" t="s">
        <v>873</v>
      </c>
      <c r="D58" s="160" t="s">
        <v>890</v>
      </c>
      <c r="E58" s="160" t="s">
        <v>891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892</v>
      </c>
      <c r="Q58" s="160" t="s">
        <v>893</v>
      </c>
      <c r="R58" s="160" t="s">
        <v>894</v>
      </c>
      <c r="S58" s="2" t="s">
        <v>850</v>
      </c>
    </row>
    <row r="59" spans="1:19" x14ac:dyDescent="0.3">
      <c r="A59" s="160">
        <v>3</v>
      </c>
      <c r="B59" s="160" t="s">
        <v>179</v>
      </c>
      <c r="C59" s="160" t="s">
        <v>873</v>
      </c>
      <c r="D59" s="160" t="s">
        <v>895</v>
      </c>
      <c r="E59" s="160" t="s">
        <v>896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897</v>
      </c>
      <c r="Q59" s="160" t="s">
        <v>898</v>
      </c>
      <c r="R59" s="160" t="s">
        <v>899</v>
      </c>
      <c r="S59" s="2" t="s">
        <v>850</v>
      </c>
    </row>
    <row r="60" spans="1:19" x14ac:dyDescent="0.3">
      <c r="A60" s="160">
        <v>3</v>
      </c>
      <c r="B60" s="160" t="s">
        <v>179</v>
      </c>
      <c r="C60" s="160" t="s">
        <v>873</v>
      </c>
      <c r="D60" s="160" t="s">
        <v>900</v>
      </c>
      <c r="E60" s="160" t="s">
        <v>901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897</v>
      </c>
      <c r="Q60" s="160" t="s">
        <v>898</v>
      </c>
      <c r="R60" s="160" t="s">
        <v>655</v>
      </c>
      <c r="S60" s="2" t="s">
        <v>850</v>
      </c>
    </row>
    <row r="61" spans="1:19" x14ac:dyDescent="0.3">
      <c r="A61" s="160">
        <v>3</v>
      </c>
      <c r="B61" s="160" t="s">
        <v>179</v>
      </c>
      <c r="C61" s="160" t="s">
        <v>873</v>
      </c>
      <c r="D61" s="160" t="s">
        <v>902</v>
      </c>
      <c r="E61" s="160" t="s">
        <v>903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904</v>
      </c>
      <c r="Q61" s="160" t="s">
        <v>905</v>
      </c>
      <c r="R61" s="160" t="s">
        <v>655</v>
      </c>
      <c r="S61" s="2" t="s">
        <v>850</v>
      </c>
    </row>
    <row r="62" spans="1:19" x14ac:dyDescent="0.3">
      <c r="A62" s="160">
        <v>3</v>
      </c>
      <c r="B62" s="160" t="s">
        <v>179</v>
      </c>
      <c r="C62" s="160" t="s">
        <v>873</v>
      </c>
      <c r="D62" s="160" t="s">
        <v>906</v>
      </c>
      <c r="E62" s="160" t="s">
        <v>907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908</v>
      </c>
      <c r="Q62" s="160" t="s">
        <v>909</v>
      </c>
      <c r="R62" s="160" t="s">
        <v>655</v>
      </c>
      <c r="S62" s="2" t="s">
        <v>850</v>
      </c>
    </row>
    <row r="63" spans="1:19" x14ac:dyDescent="0.3">
      <c r="A63" s="160">
        <v>3</v>
      </c>
      <c r="B63" s="160" t="s">
        <v>179</v>
      </c>
      <c r="C63" s="160" t="s">
        <v>873</v>
      </c>
      <c r="D63" s="160" t="s">
        <v>910</v>
      </c>
      <c r="E63" s="160" t="s">
        <v>911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912</v>
      </c>
      <c r="Q63" s="160" t="s">
        <v>913</v>
      </c>
      <c r="R63" s="160" t="s">
        <v>655</v>
      </c>
      <c r="S63" s="2" t="s">
        <v>850</v>
      </c>
    </row>
    <row r="64" spans="1:19" x14ac:dyDescent="0.3">
      <c r="A64" s="160">
        <v>3</v>
      </c>
      <c r="B64" s="160" t="s">
        <v>179</v>
      </c>
      <c r="C64" s="160" t="s">
        <v>873</v>
      </c>
      <c r="D64" s="160" t="s">
        <v>914</v>
      </c>
      <c r="E64" s="160" t="s">
        <v>915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916</v>
      </c>
      <c r="Q64" s="160" t="s">
        <v>501</v>
      </c>
      <c r="R64" s="160" t="s">
        <v>655</v>
      </c>
      <c r="S64" s="2" t="s">
        <v>850</v>
      </c>
    </row>
    <row r="65" spans="1:19" x14ac:dyDescent="0.3">
      <c r="A65" s="160">
        <v>3</v>
      </c>
      <c r="B65" s="160" t="s">
        <v>179</v>
      </c>
      <c r="C65" s="160" t="s">
        <v>873</v>
      </c>
      <c r="D65" s="160" t="s">
        <v>917</v>
      </c>
      <c r="E65" s="160" t="s">
        <v>918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919</v>
      </c>
      <c r="Q65" s="160" t="s">
        <v>920</v>
      </c>
      <c r="R65" s="160" t="s">
        <v>655</v>
      </c>
      <c r="S65" s="2" t="s">
        <v>850</v>
      </c>
    </row>
    <row r="66" spans="1:19" x14ac:dyDescent="0.3">
      <c r="A66" s="160">
        <v>3</v>
      </c>
      <c r="B66" s="160" t="s">
        <v>179</v>
      </c>
      <c r="C66" s="160" t="s">
        <v>873</v>
      </c>
      <c r="D66" s="160" t="s">
        <v>921</v>
      </c>
      <c r="E66" s="160" t="s">
        <v>922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923</v>
      </c>
      <c r="Q66" s="160" t="s">
        <v>924</v>
      </c>
      <c r="R66" s="160" t="s">
        <v>655</v>
      </c>
      <c r="S66" s="2" t="s">
        <v>850</v>
      </c>
    </row>
    <row r="67" spans="1:19" x14ac:dyDescent="0.3">
      <c r="A67" s="160">
        <v>3</v>
      </c>
      <c r="B67" s="160" t="s">
        <v>179</v>
      </c>
      <c r="C67" s="160" t="s">
        <v>873</v>
      </c>
      <c r="D67" s="160" t="s">
        <v>925</v>
      </c>
      <c r="E67" s="160" t="s">
        <v>926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927</v>
      </c>
      <c r="Q67" s="160" t="s">
        <v>545</v>
      </c>
      <c r="R67" s="160" t="s">
        <v>631</v>
      </c>
      <c r="S67" s="2" t="s">
        <v>850</v>
      </c>
    </row>
    <row r="68" spans="1:19" x14ac:dyDescent="0.3">
      <c r="A68" s="160">
        <v>3</v>
      </c>
      <c r="B68" s="160" t="s">
        <v>179</v>
      </c>
      <c r="C68" s="160" t="s">
        <v>873</v>
      </c>
      <c r="D68" s="160" t="s">
        <v>928</v>
      </c>
      <c r="E68" s="160" t="s">
        <v>929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930</v>
      </c>
      <c r="Q68" s="160" t="s">
        <v>931</v>
      </c>
      <c r="R68" s="160" t="s">
        <v>655</v>
      </c>
      <c r="S68" s="2" t="s">
        <v>850</v>
      </c>
    </row>
    <row r="69" spans="1:19" x14ac:dyDescent="0.3">
      <c r="A69" s="160">
        <v>3</v>
      </c>
      <c r="B69" s="160" t="s">
        <v>179</v>
      </c>
      <c r="C69" s="160" t="s">
        <v>873</v>
      </c>
      <c r="D69" s="160" t="s">
        <v>932</v>
      </c>
      <c r="E69" s="160" t="s">
        <v>933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934</v>
      </c>
      <c r="Q69" s="160" t="s">
        <v>935</v>
      </c>
      <c r="R69" s="160" t="s">
        <v>655</v>
      </c>
      <c r="S69" s="2" t="s">
        <v>850</v>
      </c>
    </row>
    <row r="70" spans="1:19" x14ac:dyDescent="0.3">
      <c r="A70" s="160">
        <v>3</v>
      </c>
      <c r="B70" s="160" t="s">
        <v>179</v>
      </c>
      <c r="C70" s="160" t="s">
        <v>936</v>
      </c>
      <c r="D70" s="160" t="s">
        <v>937</v>
      </c>
      <c r="E70" s="160" t="s">
        <v>938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939</v>
      </c>
      <c r="Q70" s="160" t="s">
        <v>940</v>
      </c>
      <c r="R70" s="160" t="s">
        <v>622</v>
      </c>
      <c r="S70" s="155" t="s">
        <v>850</v>
      </c>
    </row>
    <row r="71" spans="1:19" x14ac:dyDescent="0.3">
      <c r="A71" s="160">
        <v>3</v>
      </c>
      <c r="B71" s="160" t="s">
        <v>179</v>
      </c>
      <c r="C71" s="160" t="s">
        <v>936</v>
      </c>
      <c r="D71" s="160" t="s">
        <v>941</v>
      </c>
      <c r="E71" s="160" t="s">
        <v>942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939</v>
      </c>
      <c r="Q71" s="160" t="s">
        <v>940</v>
      </c>
      <c r="R71" s="160" t="s">
        <v>622</v>
      </c>
      <c r="S71" s="155" t="s">
        <v>850</v>
      </c>
    </row>
    <row r="72" spans="1:19" x14ac:dyDescent="0.3">
      <c r="A72" s="160">
        <v>3</v>
      </c>
      <c r="B72" s="160" t="s">
        <v>179</v>
      </c>
      <c r="C72" s="160" t="s">
        <v>936</v>
      </c>
      <c r="D72" s="160" t="s">
        <v>943</v>
      </c>
      <c r="E72" s="160" t="s">
        <v>944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939</v>
      </c>
      <c r="Q72" s="160" t="s">
        <v>940</v>
      </c>
      <c r="R72" s="160" t="s">
        <v>622</v>
      </c>
      <c r="S72" s="155" t="s">
        <v>850</v>
      </c>
    </row>
    <row r="73" spans="1:19" x14ac:dyDescent="0.3">
      <c r="A73" s="160">
        <v>3</v>
      </c>
      <c r="B73" s="160" t="s">
        <v>179</v>
      </c>
      <c r="C73" s="160" t="s">
        <v>936</v>
      </c>
      <c r="D73" s="160" t="s">
        <v>945</v>
      </c>
      <c r="E73" s="160" t="s">
        <v>946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947</v>
      </c>
      <c r="Q73" s="160" t="s">
        <v>948</v>
      </c>
      <c r="R73" s="160" t="s">
        <v>655</v>
      </c>
      <c r="S73" s="155" t="s">
        <v>850</v>
      </c>
    </row>
    <row r="74" spans="1:19" x14ac:dyDescent="0.3">
      <c r="A74" s="160">
        <v>3</v>
      </c>
      <c r="B74" s="160" t="s">
        <v>179</v>
      </c>
      <c r="C74" s="160" t="s">
        <v>936</v>
      </c>
      <c r="D74" s="160" t="s">
        <v>949</v>
      </c>
      <c r="E74" s="160" t="s">
        <v>950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951</v>
      </c>
      <c r="Q74" s="160" t="s">
        <v>948</v>
      </c>
      <c r="R74" s="160" t="s">
        <v>655</v>
      </c>
      <c r="S74" s="155" t="s">
        <v>850</v>
      </c>
    </row>
    <row r="75" spans="1:19" x14ac:dyDescent="0.3">
      <c r="A75" s="160">
        <v>3</v>
      </c>
      <c r="B75" s="160" t="s">
        <v>179</v>
      </c>
      <c r="C75" s="160" t="s">
        <v>936</v>
      </c>
      <c r="D75" s="160" t="s">
        <v>952</v>
      </c>
      <c r="E75" s="160" t="s">
        <v>953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954</v>
      </c>
      <c r="Q75" s="160" t="s">
        <v>948</v>
      </c>
      <c r="R75" s="160" t="s">
        <v>655</v>
      </c>
      <c r="S75" s="155" t="s">
        <v>850</v>
      </c>
    </row>
    <row r="76" spans="1:19" x14ac:dyDescent="0.3">
      <c r="A76" s="160">
        <v>3</v>
      </c>
      <c r="B76" s="160" t="s">
        <v>179</v>
      </c>
      <c r="C76" s="160" t="s">
        <v>936</v>
      </c>
      <c r="D76" s="160" t="s">
        <v>955</v>
      </c>
      <c r="E76" s="160" t="s">
        <v>956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954</v>
      </c>
      <c r="Q76" s="160" t="s">
        <v>948</v>
      </c>
      <c r="R76" s="160" t="s">
        <v>655</v>
      </c>
      <c r="S76" s="155" t="s">
        <v>850</v>
      </c>
    </row>
    <row r="77" spans="1:19" x14ac:dyDescent="0.3">
      <c r="A77" s="160">
        <v>3</v>
      </c>
      <c r="B77" s="160" t="s">
        <v>179</v>
      </c>
      <c r="C77" s="160" t="s">
        <v>936</v>
      </c>
      <c r="D77" s="160" t="s">
        <v>957</v>
      </c>
      <c r="E77" s="160" t="s">
        <v>958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959</v>
      </c>
      <c r="Q77" s="160" t="s">
        <v>948</v>
      </c>
      <c r="R77" s="160" t="s">
        <v>655</v>
      </c>
      <c r="S77" s="155" t="s">
        <v>850</v>
      </c>
    </row>
    <row r="78" spans="1:19" x14ac:dyDescent="0.3">
      <c r="A78" s="160">
        <v>3</v>
      </c>
      <c r="B78" s="160" t="s">
        <v>179</v>
      </c>
      <c r="C78" s="160" t="s">
        <v>936</v>
      </c>
      <c r="D78" s="160" t="s">
        <v>960</v>
      </c>
      <c r="E78" s="160" t="s">
        <v>961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962</v>
      </c>
      <c r="Q78" s="160" t="s">
        <v>948</v>
      </c>
      <c r="R78" s="160" t="s">
        <v>655</v>
      </c>
      <c r="S78" s="155" t="s">
        <v>850</v>
      </c>
    </row>
    <row r="79" spans="1:19" x14ac:dyDescent="0.3">
      <c r="A79" s="160">
        <v>3</v>
      </c>
      <c r="B79" s="160" t="s">
        <v>179</v>
      </c>
      <c r="C79" s="160" t="s">
        <v>936</v>
      </c>
      <c r="D79" s="160" t="s">
        <v>963</v>
      </c>
      <c r="E79" s="160" t="s">
        <v>964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965</v>
      </c>
      <c r="Q79" s="160" t="s">
        <v>966</v>
      </c>
      <c r="R79" s="160" t="s">
        <v>655</v>
      </c>
      <c r="S79" s="155" t="s">
        <v>850</v>
      </c>
    </row>
    <row r="80" spans="1:19" x14ac:dyDescent="0.3">
      <c r="A80" s="160">
        <v>3</v>
      </c>
      <c r="B80" s="160" t="s">
        <v>179</v>
      </c>
      <c r="C80" s="160" t="s">
        <v>936</v>
      </c>
      <c r="D80" s="160" t="s">
        <v>967</v>
      </c>
      <c r="E80" s="160" t="s">
        <v>968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969</v>
      </c>
      <c r="Q80" s="160" t="s">
        <v>970</v>
      </c>
      <c r="R80" s="160" t="s">
        <v>655</v>
      </c>
      <c r="S80" s="155" t="s">
        <v>850</v>
      </c>
    </row>
    <row r="81" spans="1:19" x14ac:dyDescent="0.3">
      <c r="A81" s="160">
        <v>3</v>
      </c>
      <c r="B81" s="160" t="s">
        <v>179</v>
      </c>
      <c r="C81" s="160" t="s">
        <v>936</v>
      </c>
      <c r="D81" s="160" t="s">
        <v>971</v>
      </c>
      <c r="E81" s="160" t="s">
        <v>972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973</v>
      </c>
      <c r="Q81" s="160" t="s">
        <v>974</v>
      </c>
      <c r="R81" s="160" t="s">
        <v>662</v>
      </c>
      <c r="S81" s="2" t="s">
        <v>850</v>
      </c>
    </row>
    <row r="82" spans="1:19" x14ac:dyDescent="0.3">
      <c r="A82" s="160">
        <v>3</v>
      </c>
      <c r="B82" s="160" t="s">
        <v>179</v>
      </c>
      <c r="C82" s="160" t="s">
        <v>936</v>
      </c>
      <c r="D82" s="160" t="s">
        <v>975</v>
      </c>
      <c r="E82" s="160" t="s">
        <v>976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977</v>
      </c>
      <c r="Q82" s="160" t="s">
        <v>978</v>
      </c>
      <c r="R82" s="160" t="s">
        <v>655</v>
      </c>
      <c r="S82" s="155" t="s">
        <v>850</v>
      </c>
    </row>
    <row r="83" spans="1:19" x14ac:dyDescent="0.3">
      <c r="A83" s="160">
        <v>3</v>
      </c>
      <c r="B83" s="160" t="s">
        <v>179</v>
      </c>
      <c r="C83" s="160" t="s">
        <v>979</v>
      </c>
      <c r="D83" s="160" t="s">
        <v>975</v>
      </c>
      <c r="E83" s="160" t="s">
        <v>980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981</v>
      </c>
      <c r="Q83" s="160" t="s">
        <v>982</v>
      </c>
      <c r="R83" s="160" t="s">
        <v>655</v>
      </c>
      <c r="S83" s="2" t="s">
        <v>850</v>
      </c>
    </row>
    <row r="84" spans="1:19" x14ac:dyDescent="0.3">
      <c r="A84" s="160">
        <v>3</v>
      </c>
      <c r="B84" s="160" t="s">
        <v>179</v>
      </c>
      <c r="C84" s="160" t="s">
        <v>983</v>
      </c>
      <c r="D84" s="160" t="s">
        <v>975</v>
      </c>
      <c r="E84" s="160" t="s">
        <v>984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985</v>
      </c>
      <c r="Q84" s="160" t="s">
        <v>986</v>
      </c>
      <c r="R84" s="160" t="s">
        <v>655</v>
      </c>
      <c r="S84" s="155" t="s">
        <v>850</v>
      </c>
    </row>
    <row r="85" spans="1:19" x14ac:dyDescent="0.3">
      <c r="A85" s="160">
        <v>3</v>
      </c>
      <c r="B85" s="160" t="s">
        <v>179</v>
      </c>
      <c r="C85" s="160" t="s">
        <v>936</v>
      </c>
      <c r="D85" s="160" t="s">
        <v>987</v>
      </c>
      <c r="E85" s="160" t="s">
        <v>988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989</v>
      </c>
      <c r="Q85" s="160" t="s">
        <v>516</v>
      </c>
      <c r="R85" s="160" t="s">
        <v>655</v>
      </c>
      <c r="S85" s="155" t="s">
        <v>850</v>
      </c>
    </row>
    <row r="86" spans="1:19" x14ac:dyDescent="0.3">
      <c r="A86" s="160">
        <v>3</v>
      </c>
      <c r="B86" s="160" t="s">
        <v>179</v>
      </c>
      <c r="C86" s="160" t="s">
        <v>979</v>
      </c>
      <c r="D86" s="160" t="s">
        <v>990</v>
      </c>
      <c r="E86" s="160" t="s">
        <v>991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992</v>
      </c>
      <c r="Q86" s="160" t="s">
        <v>993</v>
      </c>
      <c r="R86" s="160" t="s">
        <v>655</v>
      </c>
      <c r="S86" s="155" t="s">
        <v>850</v>
      </c>
    </row>
    <row r="87" spans="1:19" x14ac:dyDescent="0.3">
      <c r="A87" s="160">
        <v>3</v>
      </c>
      <c r="B87" s="160" t="s">
        <v>179</v>
      </c>
      <c r="C87" s="160" t="s">
        <v>983</v>
      </c>
      <c r="D87" s="160" t="s">
        <v>990</v>
      </c>
      <c r="E87" s="160" t="s">
        <v>994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995</v>
      </c>
      <c r="P87" s="160" t="s">
        <v>996</v>
      </c>
      <c r="Q87" s="160" t="s">
        <v>997</v>
      </c>
      <c r="R87" s="160" t="s">
        <v>998</v>
      </c>
      <c r="S87" s="155" t="s">
        <v>850</v>
      </c>
    </row>
    <row r="88" spans="1:19" x14ac:dyDescent="0.3">
      <c r="A88" s="160">
        <v>3</v>
      </c>
      <c r="B88" s="160" t="s">
        <v>179</v>
      </c>
      <c r="C88" s="160" t="s">
        <v>979</v>
      </c>
      <c r="D88" s="160" t="s">
        <v>999</v>
      </c>
      <c r="E88" s="160" t="s">
        <v>1000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1001</v>
      </c>
      <c r="Q88" s="160" t="s">
        <v>1002</v>
      </c>
      <c r="R88" s="160" t="s">
        <v>1003</v>
      </c>
      <c r="S88" s="155" t="s">
        <v>850</v>
      </c>
    </row>
    <row r="89" spans="1:19" x14ac:dyDescent="0.3">
      <c r="A89" s="160">
        <v>3</v>
      </c>
      <c r="B89" s="160" t="s">
        <v>179</v>
      </c>
      <c r="C89" s="160" t="s">
        <v>983</v>
      </c>
      <c r="D89" s="160" t="s">
        <v>999</v>
      </c>
      <c r="E89" s="160" t="s">
        <v>1004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1005</v>
      </c>
      <c r="Q89" s="160" t="s">
        <v>526</v>
      </c>
      <c r="R89" s="160" t="s">
        <v>655</v>
      </c>
      <c r="S89" s="155" t="s">
        <v>850</v>
      </c>
    </row>
    <row r="90" spans="1:19" x14ac:dyDescent="0.3">
      <c r="A90" s="160">
        <v>3</v>
      </c>
      <c r="B90" s="160" t="s">
        <v>179</v>
      </c>
      <c r="C90" s="160" t="s">
        <v>936</v>
      </c>
      <c r="D90" s="160" t="s">
        <v>1006</v>
      </c>
      <c r="E90" s="160" t="s">
        <v>1007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1008</v>
      </c>
      <c r="Q90" s="160" t="s">
        <v>1009</v>
      </c>
      <c r="R90" s="160" t="s">
        <v>655</v>
      </c>
      <c r="S90" s="155" t="s">
        <v>850</v>
      </c>
    </row>
    <row r="91" spans="1:19" x14ac:dyDescent="0.3">
      <c r="A91" s="160">
        <v>3</v>
      </c>
      <c r="B91" s="160" t="s">
        <v>179</v>
      </c>
      <c r="C91" s="160" t="s">
        <v>983</v>
      </c>
      <c r="D91" s="160" t="s">
        <v>1006</v>
      </c>
      <c r="E91" s="160" t="s">
        <v>1010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1011</v>
      </c>
      <c r="Q91" s="160" t="s">
        <v>1012</v>
      </c>
      <c r="R91" s="160" t="s">
        <v>655</v>
      </c>
      <c r="S91" s="155" t="s">
        <v>850</v>
      </c>
    </row>
    <row r="92" spans="1:19" x14ac:dyDescent="0.3">
      <c r="A92" s="160">
        <v>3</v>
      </c>
      <c r="B92" s="160" t="s">
        <v>179</v>
      </c>
      <c r="C92" s="160" t="s">
        <v>936</v>
      </c>
      <c r="D92" s="160" t="s">
        <v>1013</v>
      </c>
      <c r="E92" s="160" t="s">
        <v>1014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1015</v>
      </c>
      <c r="Q92" s="160" t="s">
        <v>1016</v>
      </c>
      <c r="R92" s="160" t="s">
        <v>622</v>
      </c>
      <c r="S92" s="155" t="s">
        <v>850</v>
      </c>
    </row>
    <row r="93" spans="1:19" x14ac:dyDescent="0.3">
      <c r="A93" s="160">
        <v>3</v>
      </c>
      <c r="B93" s="160" t="s">
        <v>179</v>
      </c>
      <c r="C93" s="160" t="s">
        <v>979</v>
      </c>
      <c r="D93" s="160" t="s">
        <v>1017</v>
      </c>
      <c r="E93" s="160" t="s">
        <v>1018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1019</v>
      </c>
      <c r="Q93" s="160" t="s">
        <v>404</v>
      </c>
      <c r="R93" s="160" t="s">
        <v>631</v>
      </c>
      <c r="S93" s="155" t="s">
        <v>1020</v>
      </c>
    </row>
    <row r="94" spans="1:19" x14ac:dyDescent="0.3">
      <c r="A94" s="160">
        <v>3</v>
      </c>
      <c r="B94" s="160" t="s">
        <v>179</v>
      </c>
      <c r="C94" s="160" t="s">
        <v>936</v>
      </c>
      <c r="D94" s="160" t="s">
        <v>1021</v>
      </c>
      <c r="E94" s="160" t="s">
        <v>1022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1023</v>
      </c>
      <c r="Q94" s="160" t="s">
        <v>1024</v>
      </c>
      <c r="R94" s="160" t="s">
        <v>606</v>
      </c>
      <c r="S94" s="155" t="s">
        <v>1020</v>
      </c>
    </row>
    <row r="95" spans="1:19" x14ac:dyDescent="0.3">
      <c r="A95" s="160">
        <v>3</v>
      </c>
      <c r="B95" s="160" t="s">
        <v>179</v>
      </c>
      <c r="C95" s="160" t="s">
        <v>979</v>
      </c>
      <c r="D95" s="160" t="s">
        <v>1025</v>
      </c>
      <c r="E95" s="160" t="s">
        <v>1026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1027</v>
      </c>
      <c r="Q95" s="160" t="s">
        <v>1028</v>
      </c>
      <c r="R95" s="160" t="s">
        <v>622</v>
      </c>
      <c r="S95" s="155" t="s">
        <v>1020</v>
      </c>
    </row>
    <row r="96" spans="1:19" x14ac:dyDescent="0.3">
      <c r="A96" s="160">
        <v>3</v>
      </c>
      <c r="B96" s="160" t="s">
        <v>179</v>
      </c>
      <c r="C96" s="160" t="s">
        <v>979</v>
      </c>
      <c r="D96" s="160" t="s">
        <v>1029</v>
      </c>
      <c r="E96" s="160" t="s">
        <v>1030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1031</v>
      </c>
      <c r="Q96" s="160" t="s">
        <v>1032</v>
      </c>
      <c r="R96" s="160" t="s">
        <v>622</v>
      </c>
      <c r="S96" s="155" t="s">
        <v>1020</v>
      </c>
    </row>
    <row r="97" spans="1:19" x14ac:dyDescent="0.3">
      <c r="A97" s="160">
        <v>3</v>
      </c>
      <c r="B97" s="160" t="s">
        <v>179</v>
      </c>
      <c r="C97" s="160" t="s">
        <v>1033</v>
      </c>
      <c r="D97" s="160" t="s">
        <v>1034</v>
      </c>
      <c r="E97" s="160" t="s">
        <v>1035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1036</v>
      </c>
      <c r="Q97" s="160" t="s">
        <v>1037</v>
      </c>
      <c r="R97" s="160" t="s">
        <v>1038</v>
      </c>
      <c r="S97" s="155" t="s">
        <v>1020</v>
      </c>
    </row>
    <row r="98" spans="1:19" x14ac:dyDescent="0.3">
      <c r="A98" s="160">
        <v>3</v>
      </c>
      <c r="B98" s="160" t="s">
        <v>179</v>
      </c>
      <c r="C98" s="160" t="s">
        <v>1033</v>
      </c>
      <c r="D98" s="160" t="s">
        <v>1039</v>
      </c>
      <c r="E98" s="160" t="s">
        <v>1040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1041</v>
      </c>
      <c r="Q98" s="160" t="s">
        <v>1037</v>
      </c>
      <c r="R98" s="160" t="s">
        <v>1003</v>
      </c>
      <c r="S98" s="2" t="s">
        <v>1020</v>
      </c>
    </row>
    <row r="99" spans="1:19" x14ac:dyDescent="0.3">
      <c r="A99" s="160">
        <v>3</v>
      </c>
      <c r="B99" s="160" t="s">
        <v>179</v>
      </c>
      <c r="C99" s="160" t="s">
        <v>1033</v>
      </c>
      <c r="D99" s="160" t="s">
        <v>1042</v>
      </c>
      <c r="E99" s="160" t="s">
        <v>1043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1044</v>
      </c>
      <c r="Q99" s="160" t="s">
        <v>1037</v>
      </c>
      <c r="R99" s="160" t="s">
        <v>1045</v>
      </c>
      <c r="S99" s="2" t="s">
        <v>1020</v>
      </c>
    </row>
    <row r="100" spans="1:19" x14ac:dyDescent="0.3">
      <c r="A100" s="160">
        <v>3</v>
      </c>
      <c r="B100" s="160" t="s">
        <v>179</v>
      </c>
      <c r="C100" s="160" t="s">
        <v>1033</v>
      </c>
      <c r="D100" s="160" t="s">
        <v>1046</v>
      </c>
      <c r="E100" s="160" t="s">
        <v>1047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1048</v>
      </c>
      <c r="Q100" s="160" t="s">
        <v>1037</v>
      </c>
      <c r="R100" s="160" t="s">
        <v>1049</v>
      </c>
      <c r="S100" s="2" t="s">
        <v>1020</v>
      </c>
    </row>
    <row r="101" spans="1:19" x14ac:dyDescent="0.3">
      <c r="A101" s="160">
        <v>3</v>
      </c>
      <c r="B101" s="160" t="s">
        <v>179</v>
      </c>
      <c r="C101" s="160" t="s">
        <v>873</v>
      </c>
      <c r="D101" s="160" t="s">
        <v>1050</v>
      </c>
      <c r="E101" s="160" t="s">
        <v>1051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1052</v>
      </c>
      <c r="Q101" s="160" t="s">
        <v>1037</v>
      </c>
      <c r="R101" s="160" t="s">
        <v>1053</v>
      </c>
      <c r="S101" s="155" t="s">
        <v>1020</v>
      </c>
    </row>
    <row r="102" spans="1:19" x14ac:dyDescent="0.3">
      <c r="A102" s="160">
        <v>3</v>
      </c>
      <c r="B102" s="160" t="s">
        <v>179</v>
      </c>
      <c r="C102" s="160" t="s">
        <v>873</v>
      </c>
      <c r="D102" s="160" t="s">
        <v>1054</v>
      </c>
      <c r="E102" s="160" t="s">
        <v>1055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1056</v>
      </c>
      <c r="Q102" s="160" t="s">
        <v>1037</v>
      </c>
      <c r="R102" s="160" t="s">
        <v>1057</v>
      </c>
      <c r="S102" s="155" t="s">
        <v>1020</v>
      </c>
    </row>
    <row r="103" spans="1:19" x14ac:dyDescent="0.3">
      <c r="A103" s="160">
        <v>3</v>
      </c>
      <c r="B103" s="160" t="s">
        <v>179</v>
      </c>
      <c r="C103" s="160" t="s">
        <v>1058</v>
      </c>
      <c r="D103" s="160" t="s">
        <v>1059</v>
      </c>
      <c r="E103" s="160" t="s">
        <v>1060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1044</v>
      </c>
      <c r="Q103" s="160" t="s">
        <v>1037</v>
      </c>
      <c r="R103" s="160" t="s">
        <v>849</v>
      </c>
      <c r="S103" s="2" t="s">
        <v>1020</v>
      </c>
    </row>
    <row r="104" spans="1:19" x14ac:dyDescent="0.3">
      <c r="A104" s="160">
        <v>3</v>
      </c>
      <c r="B104" s="160" t="s">
        <v>179</v>
      </c>
      <c r="C104" s="160" t="s">
        <v>1058</v>
      </c>
      <c r="D104" s="160" t="s">
        <v>1061</v>
      </c>
      <c r="E104" s="160" t="s">
        <v>1061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1062</v>
      </c>
      <c r="Q104" s="160" t="s">
        <v>1037</v>
      </c>
      <c r="R104" s="160" t="s">
        <v>1063</v>
      </c>
      <c r="S104" s="2" t="s">
        <v>1020</v>
      </c>
    </row>
    <row r="105" spans="1:19" x14ac:dyDescent="0.3">
      <c r="A105" s="160">
        <v>3</v>
      </c>
      <c r="B105" s="160" t="s">
        <v>179</v>
      </c>
      <c r="C105" s="160" t="s">
        <v>1064</v>
      </c>
      <c r="D105" s="160" t="s">
        <v>1065</v>
      </c>
      <c r="E105" s="160" t="s">
        <v>1065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1048</v>
      </c>
      <c r="Q105" s="160" t="s">
        <v>1037</v>
      </c>
      <c r="R105" s="160" t="s">
        <v>1066</v>
      </c>
      <c r="S105" s="2" t="s">
        <v>1020</v>
      </c>
    </row>
    <row r="106" spans="1:19" x14ac:dyDescent="0.3">
      <c r="A106" s="160">
        <v>3</v>
      </c>
      <c r="B106" s="160" t="s">
        <v>179</v>
      </c>
      <c r="C106" s="160" t="s">
        <v>1064</v>
      </c>
      <c r="D106" s="160" t="s">
        <v>1067</v>
      </c>
      <c r="E106" s="160" t="s">
        <v>1067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1068</v>
      </c>
      <c r="Q106" s="160" t="s">
        <v>1037</v>
      </c>
      <c r="R106" s="160" t="s">
        <v>1069</v>
      </c>
      <c r="S106" s="155" t="s">
        <v>1020</v>
      </c>
    </row>
    <row r="107" spans="1:19" x14ac:dyDescent="0.3">
      <c r="A107" s="160">
        <v>4</v>
      </c>
      <c r="B107" s="160" t="s">
        <v>330</v>
      </c>
      <c r="C107" s="160" t="s">
        <v>1070</v>
      </c>
      <c r="D107" s="160" t="s">
        <v>1071</v>
      </c>
      <c r="E107" s="160" t="s">
        <v>1071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1072</v>
      </c>
      <c r="Q107" s="160" t="s">
        <v>1073</v>
      </c>
      <c r="R107" s="160" t="s">
        <v>1074</v>
      </c>
      <c r="S107" s="2" t="s">
        <v>1020</v>
      </c>
    </row>
    <row r="108" spans="1:19" x14ac:dyDescent="0.3">
      <c r="A108" s="160">
        <v>4</v>
      </c>
      <c r="B108" s="160" t="s">
        <v>330</v>
      </c>
      <c r="C108" s="160" t="s">
        <v>1070</v>
      </c>
      <c r="D108" s="160" t="s">
        <v>1075</v>
      </c>
      <c r="E108" s="160" t="s">
        <v>1075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1076</v>
      </c>
      <c r="Q108" s="160" t="s">
        <v>1077</v>
      </c>
      <c r="R108" s="160" t="s">
        <v>1078</v>
      </c>
      <c r="S108" s="2" t="s">
        <v>1020</v>
      </c>
    </row>
    <row r="109" spans="1:19" x14ac:dyDescent="0.3">
      <c r="A109" s="160">
        <v>4</v>
      </c>
      <c r="B109" s="160" t="s">
        <v>330</v>
      </c>
      <c r="C109" s="160" t="s">
        <v>1070</v>
      </c>
      <c r="D109" s="160" t="s">
        <v>1079</v>
      </c>
      <c r="E109" s="160" t="s">
        <v>1079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1080</v>
      </c>
      <c r="Q109" s="160" t="s">
        <v>1081</v>
      </c>
      <c r="R109" s="160" t="s">
        <v>655</v>
      </c>
      <c r="S109" s="2" t="s">
        <v>1020</v>
      </c>
    </row>
    <row r="110" spans="1:19" x14ac:dyDescent="0.3">
      <c r="A110" s="160">
        <v>4</v>
      </c>
      <c r="B110" s="160" t="s">
        <v>330</v>
      </c>
      <c r="C110" s="160" t="s">
        <v>1070</v>
      </c>
      <c r="D110" s="160" t="s">
        <v>1082</v>
      </c>
      <c r="E110" s="160" t="s">
        <v>1082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1083</v>
      </c>
      <c r="Q110" s="160" t="s">
        <v>1084</v>
      </c>
      <c r="R110" s="160" t="s">
        <v>1085</v>
      </c>
      <c r="S110" s="2" t="s">
        <v>1020</v>
      </c>
    </row>
    <row r="111" spans="1:19" x14ac:dyDescent="0.3">
      <c r="A111" s="160">
        <v>4</v>
      </c>
      <c r="B111" s="160" t="s">
        <v>330</v>
      </c>
      <c r="C111" s="160" t="s">
        <v>1070</v>
      </c>
      <c r="D111" s="160" t="s">
        <v>1086</v>
      </c>
      <c r="E111" s="160" t="s">
        <v>1086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1087</v>
      </c>
      <c r="Q111" s="160" t="s">
        <v>1088</v>
      </c>
      <c r="R111" s="160" t="s">
        <v>1089</v>
      </c>
      <c r="S111" s="155" t="s">
        <v>1020</v>
      </c>
    </row>
    <row r="112" spans="1:19" x14ac:dyDescent="0.3">
      <c r="A112" s="160">
        <v>4</v>
      </c>
      <c r="B112" s="160" t="s">
        <v>330</v>
      </c>
      <c r="C112" s="160" t="s">
        <v>1070</v>
      </c>
      <c r="D112" s="160" t="s">
        <v>1090</v>
      </c>
      <c r="E112" s="160" t="s">
        <v>1090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1091</v>
      </c>
      <c r="Q112" s="160" t="s">
        <v>1092</v>
      </c>
      <c r="R112" s="160" t="s">
        <v>655</v>
      </c>
      <c r="S112" s="155" t="s">
        <v>1020</v>
      </c>
    </row>
    <row r="113" spans="1:19" x14ac:dyDescent="0.3">
      <c r="A113" s="160">
        <v>4</v>
      </c>
      <c r="B113" s="160" t="s">
        <v>330</v>
      </c>
      <c r="C113" s="160" t="s">
        <v>1070</v>
      </c>
      <c r="D113" s="160" t="s">
        <v>1093</v>
      </c>
      <c r="E113" s="160" t="s">
        <v>1093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1094</v>
      </c>
      <c r="Q113" s="160" t="s">
        <v>1095</v>
      </c>
      <c r="R113" s="160" t="s">
        <v>606</v>
      </c>
      <c r="S113" s="155" t="s">
        <v>1020</v>
      </c>
    </row>
    <row r="114" spans="1:19" x14ac:dyDescent="0.3">
      <c r="A114" s="160">
        <v>4</v>
      </c>
      <c r="B114" s="160" t="s">
        <v>330</v>
      </c>
      <c r="C114" s="160" t="s">
        <v>1070</v>
      </c>
      <c r="D114" s="160" t="s">
        <v>1096</v>
      </c>
      <c r="E114" s="160" t="s">
        <v>1096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1097</v>
      </c>
      <c r="Q114" s="160" t="s">
        <v>1098</v>
      </c>
      <c r="R114" s="160" t="s">
        <v>655</v>
      </c>
      <c r="S114" s="2" t="s">
        <v>1020</v>
      </c>
    </row>
    <row r="115" spans="1:19" x14ac:dyDescent="0.3">
      <c r="A115" s="160">
        <v>4</v>
      </c>
      <c r="B115" s="160" t="s">
        <v>330</v>
      </c>
      <c r="C115" s="160" t="s">
        <v>1070</v>
      </c>
      <c r="D115" s="160" t="s">
        <v>1099</v>
      </c>
      <c r="E115" s="160" t="s">
        <v>1099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1100</v>
      </c>
      <c r="Q115" s="160" t="s">
        <v>1101</v>
      </c>
      <c r="R115" s="160" t="s">
        <v>1003</v>
      </c>
      <c r="S115" s="155" t="s">
        <v>1020</v>
      </c>
    </row>
    <row r="116" spans="1:19" x14ac:dyDescent="0.3">
      <c r="A116" s="160">
        <v>4</v>
      </c>
      <c r="B116" s="160" t="s">
        <v>330</v>
      </c>
      <c r="C116" s="160" t="s">
        <v>1070</v>
      </c>
      <c r="D116" s="160" t="s">
        <v>1102</v>
      </c>
      <c r="E116" s="160" t="s">
        <v>1102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1103</v>
      </c>
      <c r="Q116" s="160" t="s">
        <v>462</v>
      </c>
      <c r="R116" s="160" t="s">
        <v>647</v>
      </c>
      <c r="S116" s="2" t="s">
        <v>1020</v>
      </c>
    </row>
    <row r="117" spans="1:19" x14ac:dyDescent="0.3">
      <c r="A117" s="160">
        <v>4</v>
      </c>
      <c r="B117" s="160" t="s">
        <v>330</v>
      </c>
      <c r="C117" s="160" t="s">
        <v>1070</v>
      </c>
      <c r="D117" s="160" t="s">
        <v>1104</v>
      </c>
      <c r="E117" s="160" t="s">
        <v>1104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1105</v>
      </c>
      <c r="Q117" s="160" t="s">
        <v>1106</v>
      </c>
      <c r="R117" s="160" t="s">
        <v>655</v>
      </c>
      <c r="S117" s="2" t="s">
        <v>1020</v>
      </c>
    </row>
    <row r="118" spans="1:19" x14ac:dyDescent="0.3">
      <c r="A118" s="160">
        <v>4</v>
      </c>
      <c r="B118" s="160" t="s">
        <v>330</v>
      </c>
      <c r="C118" s="160" t="s">
        <v>1070</v>
      </c>
      <c r="D118" s="160" t="s">
        <v>1107</v>
      </c>
      <c r="E118" s="160" t="s">
        <v>1107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1108</v>
      </c>
      <c r="Q118" s="160" t="s">
        <v>465</v>
      </c>
      <c r="R118" s="160" t="s">
        <v>622</v>
      </c>
      <c r="S118" s="2" t="s">
        <v>1020</v>
      </c>
    </row>
    <row r="119" spans="1:19" x14ac:dyDescent="0.3">
      <c r="A119" s="160">
        <v>4</v>
      </c>
      <c r="B119" s="160" t="s">
        <v>330</v>
      </c>
      <c r="C119" s="160" t="s">
        <v>1070</v>
      </c>
      <c r="D119" s="160" t="s">
        <v>1109</v>
      </c>
      <c r="E119" s="160" t="s">
        <v>1109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1110</v>
      </c>
      <c r="Q119" s="160" t="s">
        <v>1111</v>
      </c>
      <c r="R119" s="160" t="s">
        <v>662</v>
      </c>
      <c r="S119" s="2" t="s">
        <v>1020</v>
      </c>
    </row>
    <row r="120" spans="1:19" x14ac:dyDescent="0.3">
      <c r="A120" s="160">
        <v>4</v>
      </c>
      <c r="B120" s="160" t="s">
        <v>330</v>
      </c>
      <c r="C120" s="160" t="s">
        <v>1070</v>
      </c>
      <c r="D120" s="160" t="s">
        <v>1112</v>
      </c>
      <c r="E120" s="160" t="s">
        <v>1112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1113</v>
      </c>
      <c r="Q120" s="160" t="s">
        <v>1114</v>
      </c>
      <c r="R120" s="160" t="s">
        <v>662</v>
      </c>
      <c r="S120" s="2" t="s">
        <v>1020</v>
      </c>
    </row>
    <row r="121" spans="1:19" x14ac:dyDescent="0.3">
      <c r="A121" s="160">
        <v>4</v>
      </c>
      <c r="B121" s="160" t="s">
        <v>330</v>
      </c>
      <c r="C121" s="160" t="s">
        <v>1070</v>
      </c>
      <c r="D121" s="160" t="s">
        <v>1115</v>
      </c>
      <c r="E121" s="160" t="s">
        <v>1115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1116</v>
      </c>
      <c r="Q121" s="160" t="s">
        <v>541</v>
      </c>
      <c r="R121" s="160" t="s">
        <v>1117</v>
      </c>
      <c r="S121" s="2" t="s">
        <v>1020</v>
      </c>
    </row>
    <row r="122" spans="1:19" x14ac:dyDescent="0.3">
      <c r="A122" s="160">
        <v>4</v>
      </c>
      <c r="B122" s="160" t="s">
        <v>330</v>
      </c>
      <c r="C122" s="160" t="s">
        <v>1070</v>
      </c>
      <c r="D122" s="160" t="s">
        <v>1118</v>
      </c>
      <c r="E122" s="160" t="s">
        <v>1118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1119</v>
      </c>
      <c r="Q122" s="160" t="s">
        <v>1120</v>
      </c>
      <c r="R122" s="160" t="s">
        <v>622</v>
      </c>
      <c r="S122" s="2" t="s">
        <v>1020</v>
      </c>
    </row>
    <row r="123" spans="1:19" x14ac:dyDescent="0.3">
      <c r="A123" s="160">
        <v>4</v>
      </c>
      <c r="B123" s="160" t="s">
        <v>330</v>
      </c>
      <c r="C123" s="160" t="s">
        <v>1070</v>
      </c>
      <c r="D123" s="160" t="s">
        <v>1121</v>
      </c>
      <c r="E123" s="160" t="s">
        <v>1121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1122</v>
      </c>
      <c r="Q123" s="160" t="s">
        <v>1123</v>
      </c>
      <c r="R123" s="160" t="s">
        <v>1124</v>
      </c>
      <c r="S123" s="2" t="s">
        <v>1020</v>
      </c>
    </row>
    <row r="124" spans="1:19" x14ac:dyDescent="0.3">
      <c r="A124" s="160">
        <v>4</v>
      </c>
      <c r="B124" s="160" t="s">
        <v>330</v>
      </c>
      <c r="C124" s="160" t="s">
        <v>1070</v>
      </c>
      <c r="D124" s="160" t="s">
        <v>1125</v>
      </c>
      <c r="E124" s="160" t="s">
        <v>1125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1126</v>
      </c>
      <c r="Q124" s="160" t="s">
        <v>478</v>
      </c>
      <c r="R124" s="160" t="s">
        <v>1127</v>
      </c>
      <c r="S124" s="2" t="s">
        <v>1020</v>
      </c>
    </row>
    <row r="125" spans="1:19" x14ac:dyDescent="0.3">
      <c r="A125" s="160">
        <v>4</v>
      </c>
      <c r="B125" s="160" t="s">
        <v>330</v>
      </c>
      <c r="C125" s="160" t="s">
        <v>1070</v>
      </c>
      <c r="D125" s="160" t="s">
        <v>1128</v>
      </c>
      <c r="E125" s="160" t="s">
        <v>1128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1129</v>
      </c>
      <c r="Q125" s="160" t="s">
        <v>1130</v>
      </c>
      <c r="R125" s="160" t="s">
        <v>1131</v>
      </c>
      <c r="S125" s="2" t="s">
        <v>1020</v>
      </c>
    </row>
    <row r="126" spans="1:19" x14ac:dyDescent="0.3">
      <c r="A126" s="160">
        <v>5</v>
      </c>
      <c r="B126" s="160" t="s">
        <v>196</v>
      </c>
      <c r="C126" s="160" t="s">
        <v>1132</v>
      </c>
      <c r="D126" s="160" t="s">
        <v>1133</v>
      </c>
      <c r="E126" s="160" t="s">
        <v>1134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1135</v>
      </c>
      <c r="Q126" s="160" t="s">
        <v>1136</v>
      </c>
      <c r="R126" s="160" t="s">
        <v>822</v>
      </c>
      <c r="S126" s="2" t="s">
        <v>1020</v>
      </c>
    </row>
    <row r="127" spans="1:19" x14ac:dyDescent="0.3">
      <c r="A127" s="160">
        <v>5</v>
      </c>
      <c r="B127" s="160" t="s">
        <v>196</v>
      </c>
      <c r="C127" s="160" t="s">
        <v>1132</v>
      </c>
      <c r="D127" s="160" t="s">
        <v>1137</v>
      </c>
      <c r="E127" s="160" t="s">
        <v>1138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1139</v>
      </c>
      <c r="Q127" s="160" t="s">
        <v>490</v>
      </c>
      <c r="R127" s="160" t="s">
        <v>622</v>
      </c>
      <c r="S127" s="2" t="s">
        <v>1020</v>
      </c>
    </row>
    <row r="128" spans="1:19" x14ac:dyDescent="0.3">
      <c r="A128" s="160">
        <v>5</v>
      </c>
      <c r="B128" s="160" t="s">
        <v>196</v>
      </c>
      <c r="C128" s="160" t="s">
        <v>1132</v>
      </c>
      <c r="D128" s="160" t="s">
        <v>1140</v>
      </c>
      <c r="E128" s="160" t="s">
        <v>1141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1142</v>
      </c>
      <c r="Q128" s="160" t="s">
        <v>1143</v>
      </c>
      <c r="R128" s="160" t="s">
        <v>655</v>
      </c>
      <c r="S128" s="2" t="s">
        <v>1020</v>
      </c>
    </row>
    <row r="129" spans="1:19" x14ac:dyDescent="0.3">
      <c r="A129" s="160">
        <v>5</v>
      </c>
      <c r="B129" s="160" t="s">
        <v>196</v>
      </c>
      <c r="C129" s="160" t="s">
        <v>1132</v>
      </c>
      <c r="D129" s="160" t="s">
        <v>1144</v>
      </c>
      <c r="E129" s="160" t="s">
        <v>1145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1146</v>
      </c>
      <c r="Q129" s="160" t="s">
        <v>1147</v>
      </c>
      <c r="R129" s="160" t="s">
        <v>662</v>
      </c>
      <c r="S129" s="2" t="s">
        <v>1020</v>
      </c>
    </row>
    <row r="130" spans="1:19" x14ac:dyDescent="0.3">
      <c r="A130" s="160">
        <v>5</v>
      </c>
      <c r="B130" s="160" t="s">
        <v>196</v>
      </c>
      <c r="C130" s="160" t="s">
        <v>1070</v>
      </c>
      <c r="D130" s="160" t="s">
        <v>1148</v>
      </c>
      <c r="E130" s="160" t="s">
        <v>1148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1149</v>
      </c>
      <c r="Q130" s="160" t="s">
        <v>1150</v>
      </c>
      <c r="R130" s="160" t="s">
        <v>662</v>
      </c>
      <c r="S130" s="2" t="s">
        <v>1020</v>
      </c>
    </row>
    <row r="131" spans="1:19" x14ac:dyDescent="0.3">
      <c r="A131" s="160">
        <v>5</v>
      </c>
      <c r="B131" s="160" t="s">
        <v>196</v>
      </c>
      <c r="C131" s="160" t="s">
        <v>1070</v>
      </c>
      <c r="D131" s="160" t="s">
        <v>1151</v>
      </c>
      <c r="E131" s="160" t="s">
        <v>1151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1152</v>
      </c>
      <c r="Q131" s="160" t="s">
        <v>1153</v>
      </c>
      <c r="R131" s="160" t="s">
        <v>1154</v>
      </c>
      <c r="S131" s="2" t="s">
        <v>1020</v>
      </c>
    </row>
    <row r="132" spans="1:19" x14ac:dyDescent="0.3">
      <c r="A132" s="160">
        <v>6</v>
      </c>
      <c r="B132" s="160" t="s">
        <v>1155</v>
      </c>
      <c r="C132" s="160" t="s">
        <v>1156</v>
      </c>
      <c r="D132" s="160" t="s">
        <v>1157</v>
      </c>
      <c r="E132" s="160" t="s">
        <v>1157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1158</v>
      </c>
      <c r="Q132" s="160" t="s">
        <v>507</v>
      </c>
      <c r="R132" s="160" t="s">
        <v>647</v>
      </c>
      <c r="S132" s="2" t="s">
        <v>1020</v>
      </c>
    </row>
    <row r="133" spans="1:19" x14ac:dyDescent="0.3">
      <c r="A133" s="160">
        <v>6</v>
      </c>
      <c r="B133" s="160" t="s">
        <v>1155</v>
      </c>
      <c r="C133" s="160" t="s">
        <v>1156</v>
      </c>
      <c r="D133" s="160" t="s">
        <v>1159</v>
      </c>
      <c r="E133" s="160" t="s">
        <v>1159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1160</v>
      </c>
      <c r="Q133" s="160" t="s">
        <v>1161</v>
      </c>
      <c r="R133" s="160" t="s">
        <v>1162</v>
      </c>
      <c r="S133" s="2" t="s">
        <v>1020</v>
      </c>
    </row>
    <row r="134" spans="1:19" x14ac:dyDescent="0.3">
      <c r="A134" s="160">
        <v>6</v>
      </c>
      <c r="B134" s="160" t="s">
        <v>1155</v>
      </c>
      <c r="C134" s="160" t="s">
        <v>1156</v>
      </c>
      <c r="D134" s="160" t="s">
        <v>1163</v>
      </c>
      <c r="E134" s="160" t="s">
        <v>1163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1164</v>
      </c>
      <c r="Q134" s="160" t="s">
        <v>1165</v>
      </c>
      <c r="R134" s="160" t="s">
        <v>662</v>
      </c>
      <c r="S134" s="2" t="s">
        <v>1020</v>
      </c>
    </row>
    <row r="135" spans="1:19" x14ac:dyDescent="0.3">
      <c r="A135" s="160">
        <v>7</v>
      </c>
      <c r="B135" s="160" t="s">
        <v>347</v>
      </c>
      <c r="C135" s="160" t="s">
        <v>1166</v>
      </c>
      <c r="D135" s="160" t="s">
        <v>1167</v>
      </c>
      <c r="E135" s="160" t="s">
        <v>1167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1168</v>
      </c>
      <c r="Q135" s="160" t="s">
        <v>1169</v>
      </c>
      <c r="R135" s="160" t="s">
        <v>655</v>
      </c>
      <c r="S135" s="2" t="s">
        <v>1020</v>
      </c>
    </row>
    <row r="136" spans="1:19" x14ac:dyDescent="0.3">
      <c r="A136" s="160">
        <v>3</v>
      </c>
      <c r="B136" s="160" t="s">
        <v>179</v>
      </c>
      <c r="C136" s="160" t="s">
        <v>1058</v>
      </c>
      <c r="D136" s="160" t="s">
        <v>1170</v>
      </c>
      <c r="E136" s="160" t="s">
        <v>1170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1171</v>
      </c>
      <c r="Q136" s="160" t="s">
        <v>1172</v>
      </c>
      <c r="R136" s="160" t="s">
        <v>655</v>
      </c>
      <c r="S136" s="2" t="s">
        <v>1020</v>
      </c>
    </row>
    <row r="137" spans="1:19" x14ac:dyDescent="0.3">
      <c r="N137" s="160" t="str">
        <f t="shared" si="4"/>
        <v>034355001</v>
      </c>
      <c r="O137" s="166">
        <v>34355001000170</v>
      </c>
      <c r="P137" s="160" t="s">
        <v>1173</v>
      </c>
      <c r="Q137" s="160" t="s">
        <v>1174</v>
      </c>
      <c r="R137" s="160" t="s">
        <v>647</v>
      </c>
      <c r="S137" s="2" t="s">
        <v>1020</v>
      </c>
    </row>
    <row r="138" spans="1:19" x14ac:dyDescent="0.3">
      <c r="N138" s="160" t="str">
        <f t="shared" si="4"/>
        <v>032878844</v>
      </c>
      <c r="O138" s="166">
        <v>32878844000126</v>
      </c>
      <c r="P138" s="160" t="s">
        <v>1175</v>
      </c>
      <c r="Q138" s="160" t="s">
        <v>523</v>
      </c>
      <c r="R138" s="160" t="s">
        <v>647</v>
      </c>
      <c r="S138" s="2" t="s">
        <v>1020</v>
      </c>
    </row>
    <row r="139" spans="1:19" x14ac:dyDescent="0.3">
      <c r="N139" s="160" t="str">
        <f t="shared" si="4"/>
        <v>024586169</v>
      </c>
      <c r="O139" s="166">
        <v>24586169000133</v>
      </c>
      <c r="P139" s="160" t="s">
        <v>1176</v>
      </c>
      <c r="Q139" s="160" t="s">
        <v>1177</v>
      </c>
      <c r="R139" s="160" t="s">
        <v>622</v>
      </c>
      <c r="S139" s="2" t="s">
        <v>1020</v>
      </c>
    </row>
    <row r="140" spans="1:19" x14ac:dyDescent="0.3">
      <c r="N140" s="160" t="str">
        <f t="shared" si="4"/>
        <v>058145329</v>
      </c>
      <c r="O140" s="166">
        <v>58145329000120</v>
      </c>
      <c r="P140" s="160" t="s">
        <v>1178</v>
      </c>
      <c r="Q140" s="160" t="s">
        <v>1179</v>
      </c>
      <c r="R140" s="160" t="s">
        <v>622</v>
      </c>
      <c r="S140" s="2" t="s">
        <v>1020</v>
      </c>
    </row>
    <row r="141" spans="1:19" x14ac:dyDescent="0.3">
      <c r="N141" s="160" t="str">
        <f t="shared" si="4"/>
        <v>079973913</v>
      </c>
      <c r="O141" s="166">
        <v>79973913000144</v>
      </c>
      <c r="P141" s="160" t="s">
        <v>1180</v>
      </c>
      <c r="Q141" s="160" t="s">
        <v>1181</v>
      </c>
      <c r="R141" s="160" t="s">
        <v>849</v>
      </c>
      <c r="S141" s="2" t="s">
        <v>1020</v>
      </c>
    </row>
    <row r="142" spans="1:19" x14ac:dyDescent="0.3">
      <c r="N142" s="160" t="str">
        <f t="shared" si="4"/>
        <v>006914002</v>
      </c>
      <c r="O142" s="166">
        <v>6914002000172</v>
      </c>
      <c r="P142" s="160" t="s">
        <v>1182</v>
      </c>
      <c r="Q142" s="160" t="s">
        <v>529</v>
      </c>
      <c r="R142" s="160" t="s">
        <v>631</v>
      </c>
      <c r="S142" s="2" t="s">
        <v>1020</v>
      </c>
    </row>
    <row r="143" spans="1:19" x14ac:dyDescent="0.3">
      <c r="N143" s="160" t="str">
        <f t="shared" si="4"/>
        <v>003350624</v>
      </c>
      <c r="O143" s="166">
        <v>3350624000127</v>
      </c>
      <c r="P143" s="160" t="s">
        <v>1183</v>
      </c>
      <c r="Q143" s="160" t="s">
        <v>1184</v>
      </c>
      <c r="R143" s="160" t="s">
        <v>1185</v>
      </c>
      <c r="S143" s="2" t="s">
        <v>1020</v>
      </c>
    </row>
    <row r="144" spans="1:19" x14ac:dyDescent="0.3">
      <c r="N144" s="160" t="str">
        <f t="shared" si="4"/>
        <v>027482459</v>
      </c>
      <c r="O144" s="166">
        <v>27482459000125</v>
      </c>
      <c r="P144" s="160" t="s">
        <v>1186</v>
      </c>
      <c r="Q144" s="160" t="s">
        <v>1187</v>
      </c>
      <c r="R144" s="160" t="s">
        <v>1188</v>
      </c>
      <c r="S144" s="2" t="s">
        <v>1020</v>
      </c>
    </row>
    <row r="145" spans="14:19" x14ac:dyDescent="0.3">
      <c r="N145" s="160" t="str">
        <f t="shared" si="4"/>
        <v>044753925</v>
      </c>
      <c r="O145" s="166">
        <v>44753925000189</v>
      </c>
      <c r="P145" s="160" t="s">
        <v>1189</v>
      </c>
      <c r="Q145" s="160" t="s">
        <v>1190</v>
      </c>
      <c r="R145" s="160" t="s">
        <v>598</v>
      </c>
      <c r="S145" s="2" t="s">
        <v>1020</v>
      </c>
    </row>
    <row r="146" spans="14:19" x14ac:dyDescent="0.3">
      <c r="N146" s="160" t="str">
        <f t="shared" si="4"/>
        <v>045988691</v>
      </c>
      <c r="O146" s="166">
        <v>45988691000111</v>
      </c>
      <c r="P146" s="160" t="s">
        <v>1191</v>
      </c>
      <c r="Q146" s="160" t="s">
        <v>1192</v>
      </c>
      <c r="R146" s="160" t="s">
        <v>662</v>
      </c>
      <c r="S146" s="2" t="s">
        <v>1020</v>
      </c>
    </row>
    <row r="147" spans="14:19" x14ac:dyDescent="0.3">
      <c r="N147" s="160" t="str">
        <f t="shared" si="4"/>
        <v>032603119</v>
      </c>
      <c r="O147" s="166">
        <v>32603119000145</v>
      </c>
      <c r="P147" s="160" t="s">
        <v>1193</v>
      </c>
      <c r="Q147" s="160" t="s">
        <v>538</v>
      </c>
      <c r="R147" s="160" t="s">
        <v>1194</v>
      </c>
      <c r="S147" s="2" t="s">
        <v>1020</v>
      </c>
    </row>
    <row r="148" spans="14:19" x14ac:dyDescent="0.3">
      <c r="N148" s="160" t="str">
        <f t="shared" si="4"/>
        <v>019442669</v>
      </c>
      <c r="O148" s="166">
        <v>19442669000161</v>
      </c>
      <c r="P148" s="160" t="s">
        <v>1195</v>
      </c>
      <c r="Q148" s="160" t="s">
        <v>1196</v>
      </c>
      <c r="R148" s="160" t="s">
        <v>655</v>
      </c>
      <c r="S148" s="2" t="s">
        <v>1020</v>
      </c>
    </row>
    <row r="149" spans="14:19" x14ac:dyDescent="0.3">
      <c r="N149" s="160" t="str">
        <f t="shared" si="4"/>
        <v>084895598</v>
      </c>
      <c r="O149" s="166">
        <v>84895598000114</v>
      </c>
      <c r="P149" s="160" t="s">
        <v>1197</v>
      </c>
      <c r="Q149" s="160" t="s">
        <v>1198</v>
      </c>
      <c r="R149" s="160" t="s">
        <v>622</v>
      </c>
      <c r="S149" s="2" t="s">
        <v>1020</v>
      </c>
    </row>
    <row r="150" spans="14:19" x14ac:dyDescent="0.3">
      <c r="N150" s="160" t="str">
        <f t="shared" si="4"/>
        <v>000495608</v>
      </c>
      <c r="O150" s="166">
        <v>495608000134</v>
      </c>
      <c r="P150" s="160" t="s">
        <v>1199</v>
      </c>
      <c r="Q150" s="160" t="s">
        <v>504</v>
      </c>
      <c r="R150" s="160" t="s">
        <v>655</v>
      </c>
      <c r="S150" s="2" t="s">
        <v>1020</v>
      </c>
    </row>
    <row r="151" spans="14:19" x14ac:dyDescent="0.3">
      <c r="N151" s="160" t="str">
        <f t="shared" si="4"/>
        <v>020920599</v>
      </c>
      <c r="O151" s="166">
        <v>20920599000199</v>
      </c>
      <c r="P151" s="160" t="s">
        <v>1200</v>
      </c>
      <c r="Q151" s="160" t="s">
        <v>1201</v>
      </c>
      <c r="R151" s="160" t="s">
        <v>655</v>
      </c>
      <c r="S151" s="2" t="s">
        <v>1202</v>
      </c>
    </row>
    <row r="152" spans="14:19" x14ac:dyDescent="0.3">
      <c r="N152" s="160" t="str">
        <f t="shared" si="4"/>
        <v>055246903</v>
      </c>
      <c r="O152" s="166">
        <v>55246903000149</v>
      </c>
      <c r="P152" s="160" t="s">
        <v>1203</v>
      </c>
      <c r="Q152" s="160" t="s">
        <v>1204</v>
      </c>
      <c r="R152" s="160" t="s">
        <v>1205</v>
      </c>
      <c r="S152" s="2" t="s">
        <v>1206</v>
      </c>
    </row>
    <row r="153" spans="14:19" x14ac:dyDescent="0.3">
      <c r="N153" s="160" t="str">
        <f t="shared" si="4"/>
        <v>080645922</v>
      </c>
      <c r="O153" s="166">
        <v>80645922000276</v>
      </c>
      <c r="P153" s="160" t="s">
        <v>1207</v>
      </c>
      <c r="Q153" s="160" t="s">
        <v>1208</v>
      </c>
      <c r="R153" s="160" t="s">
        <v>822</v>
      </c>
      <c r="S153" s="2" t="s">
        <v>1206</v>
      </c>
    </row>
    <row r="154" spans="14:19" x14ac:dyDescent="0.3">
      <c r="N154" s="160" t="str">
        <f t="shared" si="4"/>
        <v>056953013</v>
      </c>
      <c r="O154" s="166">
        <v>56953013000130</v>
      </c>
      <c r="P154" s="160" t="s">
        <v>1209</v>
      </c>
      <c r="Q154" s="160" t="s">
        <v>427</v>
      </c>
      <c r="R154" s="160" t="s">
        <v>849</v>
      </c>
      <c r="S154" s="2" t="s">
        <v>1206</v>
      </c>
    </row>
    <row r="155" spans="14:19" x14ac:dyDescent="0.3">
      <c r="N155" s="160" t="str">
        <f t="shared" si="4"/>
        <v>056953013</v>
      </c>
      <c r="O155" s="166">
        <v>56953013000130</v>
      </c>
      <c r="P155" s="160" t="s">
        <v>1209</v>
      </c>
      <c r="Q155" s="160" t="s">
        <v>427</v>
      </c>
      <c r="R155" s="160" t="s">
        <v>849</v>
      </c>
      <c r="S155" s="2" t="s">
        <v>1206</v>
      </c>
    </row>
    <row r="156" spans="14:19" x14ac:dyDescent="0.3">
      <c r="N156" s="160" t="str">
        <f t="shared" si="4"/>
        <v>027525938</v>
      </c>
      <c r="O156" s="166">
        <v>27525938000181</v>
      </c>
      <c r="P156" s="160" t="s">
        <v>1210</v>
      </c>
      <c r="Q156" s="160" t="s">
        <v>453</v>
      </c>
      <c r="R156" s="160" t="s">
        <v>655</v>
      </c>
      <c r="S156" s="2" t="s">
        <v>1206</v>
      </c>
    </row>
    <row r="157" spans="14:19" x14ac:dyDescent="0.3">
      <c r="N157" s="160" t="str">
        <f t="shared" si="4"/>
        <v>059119304</v>
      </c>
      <c r="O157" s="166">
        <v>59119304000115</v>
      </c>
      <c r="P157" s="160" t="s">
        <v>1211</v>
      </c>
      <c r="Q157" s="160" t="s">
        <v>1212</v>
      </c>
      <c r="R157" s="160" t="s">
        <v>647</v>
      </c>
      <c r="S157" s="2" t="s">
        <v>1206</v>
      </c>
    </row>
    <row r="158" spans="14:19" x14ac:dyDescent="0.3">
      <c r="N158" s="160" t="str">
        <f t="shared" si="4"/>
        <v>058219628</v>
      </c>
      <c r="O158" s="166" t="s">
        <v>1213</v>
      </c>
      <c r="P158" s="160" t="s">
        <v>1214</v>
      </c>
      <c r="Q158" s="160" t="s">
        <v>1212</v>
      </c>
      <c r="R158" s="160" t="s">
        <v>1215</v>
      </c>
      <c r="S158" s="2" t="s">
        <v>1206</v>
      </c>
    </row>
    <row r="159" spans="14:19" x14ac:dyDescent="0.3">
      <c r="N159" s="160" t="str">
        <f t="shared" si="4"/>
        <v>028198228</v>
      </c>
      <c r="O159" s="166">
        <v>28198228000157</v>
      </c>
      <c r="P159" s="160" t="s">
        <v>1216</v>
      </c>
      <c r="Q159" s="160" t="s">
        <v>1217</v>
      </c>
      <c r="R159" s="160" t="s">
        <v>1218</v>
      </c>
      <c r="S159" s="155" t="s">
        <v>1206</v>
      </c>
    </row>
    <row r="160" spans="14:19" x14ac:dyDescent="0.3">
      <c r="N160" s="160" t="str">
        <f t="shared" si="4"/>
        <v>008880208</v>
      </c>
      <c r="O160" s="166">
        <v>8880208000154</v>
      </c>
      <c r="P160" s="160" t="s">
        <v>1219</v>
      </c>
      <c r="Q160" s="160" t="s">
        <v>1217</v>
      </c>
      <c r="R160" s="160" t="s">
        <v>1218</v>
      </c>
      <c r="S160" s="155" t="s">
        <v>1206</v>
      </c>
    </row>
    <row r="161" spans="14:19" x14ac:dyDescent="0.3">
      <c r="N161" s="160" t="str">
        <f t="shared" si="4"/>
        <v>053102168</v>
      </c>
      <c r="O161" s="166">
        <v>53102168000174</v>
      </c>
      <c r="P161" s="160" t="s">
        <v>1220</v>
      </c>
      <c r="Q161" s="160" t="s">
        <v>1221</v>
      </c>
      <c r="R161" s="160" t="s">
        <v>1222</v>
      </c>
      <c r="S161" s="2" t="s">
        <v>1206</v>
      </c>
    </row>
    <row r="162" spans="14:19" x14ac:dyDescent="0.3">
      <c r="N162" s="160" t="str">
        <f t="shared" si="4"/>
        <v>035912495</v>
      </c>
      <c r="O162" s="166">
        <v>35912495000452</v>
      </c>
      <c r="P162" s="160" t="s">
        <v>1223</v>
      </c>
      <c r="Q162" s="160" t="s">
        <v>1224</v>
      </c>
      <c r="R162" s="160" t="s">
        <v>1218</v>
      </c>
      <c r="S162" s="2" t="s">
        <v>1206</v>
      </c>
    </row>
    <row r="163" spans="14:19" x14ac:dyDescent="0.3">
      <c r="N163" s="160" t="str">
        <f t="shared" si="4"/>
        <v>044914992</v>
      </c>
      <c r="O163" s="166">
        <v>44914992002424</v>
      </c>
      <c r="P163" s="160" t="s">
        <v>1225</v>
      </c>
      <c r="Q163" s="160" t="s">
        <v>1224</v>
      </c>
      <c r="R163" s="160" t="s">
        <v>1226</v>
      </c>
      <c r="S163" s="2" t="s">
        <v>1206</v>
      </c>
    </row>
    <row r="164" spans="14:19" x14ac:dyDescent="0.3">
      <c r="N164" s="160" t="str">
        <f t="shared" si="4"/>
        <v>044914992</v>
      </c>
      <c r="O164" s="166">
        <v>44914992003315</v>
      </c>
      <c r="P164" s="160" t="s">
        <v>1227</v>
      </c>
      <c r="Q164" s="160" t="s">
        <v>1224</v>
      </c>
      <c r="R164" s="160" t="s">
        <v>1228</v>
      </c>
      <c r="S164" s="2" t="s">
        <v>1206</v>
      </c>
    </row>
    <row r="165" spans="14:19" x14ac:dyDescent="0.3">
      <c r="N165" s="160" t="str">
        <f t="shared" si="4"/>
        <v>044914992</v>
      </c>
      <c r="O165" s="166">
        <v>44914992003820</v>
      </c>
      <c r="P165" s="160" t="s">
        <v>1227</v>
      </c>
      <c r="Q165" s="160" t="s">
        <v>1224</v>
      </c>
      <c r="R165" s="160" t="s">
        <v>1218</v>
      </c>
      <c r="S165" s="2" t="s">
        <v>1206</v>
      </c>
    </row>
    <row r="166" spans="14:19" x14ac:dyDescent="0.3">
      <c r="N166" s="160" t="str">
        <f t="shared" si="4"/>
        <v>044914992</v>
      </c>
      <c r="O166" s="166">
        <v>44914992001886</v>
      </c>
      <c r="P166" s="160" t="s">
        <v>1229</v>
      </c>
      <c r="Q166" s="160" t="s">
        <v>1224</v>
      </c>
      <c r="R166" s="160" t="s">
        <v>1230</v>
      </c>
      <c r="S166" s="2" t="s">
        <v>1206</v>
      </c>
    </row>
    <row r="167" spans="14:19" x14ac:dyDescent="0.3">
      <c r="N167" s="160" t="str">
        <f t="shared" si="4"/>
        <v>044914992</v>
      </c>
      <c r="O167" s="166">
        <v>44914992003668</v>
      </c>
      <c r="P167" s="160" t="s">
        <v>1227</v>
      </c>
      <c r="Q167" s="160" t="s">
        <v>1224</v>
      </c>
      <c r="R167" s="160" t="s">
        <v>1231</v>
      </c>
      <c r="S167" s="2" t="s">
        <v>1206</v>
      </c>
    </row>
    <row r="168" spans="14:19" x14ac:dyDescent="0.3">
      <c r="N168" s="160" t="str">
        <f t="shared" si="4"/>
        <v>044914992</v>
      </c>
      <c r="O168" s="166">
        <v>44914992001703</v>
      </c>
      <c r="P168" s="160" t="s">
        <v>1232</v>
      </c>
      <c r="Q168" s="160" t="s">
        <v>1224</v>
      </c>
      <c r="R168" s="160" t="s">
        <v>715</v>
      </c>
      <c r="S168" s="2" t="s">
        <v>1206</v>
      </c>
    </row>
    <row r="169" spans="14:19" x14ac:dyDescent="0.3">
      <c r="N169" s="160" t="str">
        <f t="shared" si="4"/>
        <v>044914992</v>
      </c>
      <c r="O169" s="166">
        <v>44914992002181</v>
      </c>
      <c r="P169" s="160" t="s">
        <v>1233</v>
      </c>
      <c r="Q169" s="160" t="s">
        <v>1224</v>
      </c>
      <c r="R169" s="160" t="s">
        <v>1234</v>
      </c>
      <c r="S169" s="2" t="s">
        <v>1206</v>
      </c>
    </row>
    <row r="170" spans="14:19" x14ac:dyDescent="0.3">
      <c r="N170" s="160" t="str">
        <f t="shared" si="4"/>
        <v>044914992</v>
      </c>
      <c r="O170" s="166">
        <v>44914992002777</v>
      </c>
      <c r="P170" s="160" t="s">
        <v>1232</v>
      </c>
      <c r="Q170" s="160" t="s">
        <v>1224</v>
      </c>
      <c r="R170" s="160" t="s">
        <v>1235</v>
      </c>
      <c r="S170" s="2" t="s">
        <v>1206</v>
      </c>
    </row>
    <row r="171" spans="14:19" x14ac:dyDescent="0.3">
      <c r="N171" s="160" t="str">
        <f t="shared" si="4"/>
        <v>044914992</v>
      </c>
      <c r="O171" s="166">
        <v>44914992000138</v>
      </c>
      <c r="P171" s="160" t="s">
        <v>1236</v>
      </c>
      <c r="Q171" s="160" t="s">
        <v>1224</v>
      </c>
      <c r="R171" s="160" t="s">
        <v>1237</v>
      </c>
      <c r="S171" s="2" t="s">
        <v>1206</v>
      </c>
    </row>
    <row r="172" spans="14:19" x14ac:dyDescent="0.3">
      <c r="N172" s="160" t="str">
        <f t="shared" si="4"/>
        <v>044914992</v>
      </c>
      <c r="O172" s="166">
        <v>44914992001371</v>
      </c>
      <c r="P172" s="160" t="s">
        <v>1238</v>
      </c>
      <c r="Q172" s="160" t="s">
        <v>1224</v>
      </c>
      <c r="R172" s="160" t="s">
        <v>1131</v>
      </c>
      <c r="S172" s="2" t="s">
        <v>1206</v>
      </c>
    </row>
    <row r="173" spans="14:19" x14ac:dyDescent="0.3">
      <c r="N173" s="160" t="str">
        <f t="shared" si="4"/>
        <v>044914992</v>
      </c>
      <c r="O173" s="166">
        <v>44914992001290</v>
      </c>
      <c r="P173" s="160" t="s">
        <v>1239</v>
      </c>
      <c r="Q173" s="160" t="s">
        <v>1224</v>
      </c>
      <c r="R173" s="160" t="s">
        <v>1240</v>
      </c>
      <c r="S173" s="2" t="s">
        <v>1206</v>
      </c>
    </row>
    <row r="174" spans="14:19" x14ac:dyDescent="0.3">
      <c r="N174" s="160" t="str">
        <f t="shared" si="4"/>
        <v>002343801</v>
      </c>
      <c r="O174" s="166">
        <v>2343801000185</v>
      </c>
      <c r="P174" s="160" t="s">
        <v>1241</v>
      </c>
      <c r="Q174" s="160" t="s">
        <v>1242</v>
      </c>
      <c r="R174" s="160" t="s">
        <v>1243</v>
      </c>
      <c r="S174" s="2" t="s">
        <v>1206</v>
      </c>
    </row>
    <row r="175" spans="14:19" x14ac:dyDescent="0.3">
      <c r="N175" s="160" t="str">
        <f t="shared" si="4"/>
        <v>002343801</v>
      </c>
      <c r="O175" s="166">
        <v>2343801000690</v>
      </c>
      <c r="P175" s="160" t="s">
        <v>1241</v>
      </c>
      <c r="Q175" s="160" t="s">
        <v>1242</v>
      </c>
      <c r="R175" s="160" t="s">
        <v>655</v>
      </c>
      <c r="S175" s="2" t="s">
        <v>1206</v>
      </c>
    </row>
    <row r="176" spans="14:19" x14ac:dyDescent="0.3">
      <c r="N176" s="160" t="str">
        <f t="shared" si="4"/>
        <v>078706751</v>
      </c>
      <c r="O176" s="166">
        <v>78706751000700</v>
      </c>
      <c r="P176" s="160" t="s">
        <v>1244</v>
      </c>
      <c r="Q176" s="160" t="s">
        <v>1245</v>
      </c>
      <c r="R176" s="160" t="s">
        <v>1246</v>
      </c>
      <c r="S176" s="2" t="s">
        <v>1206</v>
      </c>
    </row>
    <row r="177" spans="14:19" x14ac:dyDescent="0.3">
      <c r="N177" s="160" t="str">
        <f t="shared" si="4"/>
        <v>078706751</v>
      </c>
      <c r="O177" s="166">
        <v>78706751001430</v>
      </c>
      <c r="P177" s="160" t="s">
        <v>1244</v>
      </c>
      <c r="Q177" s="160" t="s">
        <v>1245</v>
      </c>
      <c r="R177" s="160" t="s">
        <v>655</v>
      </c>
      <c r="S177" s="2" t="s">
        <v>1206</v>
      </c>
    </row>
    <row r="178" spans="14:19" x14ac:dyDescent="0.3">
      <c r="N178" s="160" t="str">
        <f t="shared" si="4"/>
        <v>078706751</v>
      </c>
      <c r="O178" s="166">
        <v>78706751000891</v>
      </c>
      <c r="P178" s="160" t="s">
        <v>1247</v>
      </c>
      <c r="Q178" s="160" t="s">
        <v>1245</v>
      </c>
      <c r="R178" s="160" t="s">
        <v>1205</v>
      </c>
      <c r="S178" s="2" t="s">
        <v>1206</v>
      </c>
    </row>
    <row r="179" spans="14:19" x14ac:dyDescent="0.3">
      <c r="N179" s="160" t="str">
        <f t="shared" si="4"/>
        <v>078706751</v>
      </c>
      <c r="O179" s="166">
        <v>78706751000115</v>
      </c>
      <c r="P179" s="160" t="s">
        <v>1248</v>
      </c>
      <c r="Q179" s="160" t="s">
        <v>1245</v>
      </c>
      <c r="R179" s="160" t="s">
        <v>1131</v>
      </c>
      <c r="S179" s="2" t="s">
        <v>1206</v>
      </c>
    </row>
    <row r="180" spans="14:19" x14ac:dyDescent="0.3">
      <c r="N180" s="160" t="str">
        <f t="shared" si="4"/>
        <v>078706751</v>
      </c>
      <c r="O180" s="166">
        <v>78706751000549</v>
      </c>
      <c r="P180" s="160" t="s">
        <v>1248</v>
      </c>
      <c r="Q180" s="160" t="s">
        <v>1245</v>
      </c>
      <c r="R180" s="160" t="s">
        <v>1131</v>
      </c>
      <c r="S180" s="2" t="s">
        <v>1206</v>
      </c>
    </row>
    <row r="181" spans="14:19" x14ac:dyDescent="0.3">
      <c r="N181" s="160" t="str">
        <f t="shared" si="4"/>
        <v>012154080</v>
      </c>
      <c r="O181" s="166">
        <v>12154080000119</v>
      </c>
      <c r="P181" s="160" t="s">
        <v>1249</v>
      </c>
      <c r="Q181" s="160" t="s">
        <v>1250</v>
      </c>
      <c r="R181" s="160" t="s">
        <v>655</v>
      </c>
      <c r="S181" s="2" t="s">
        <v>1206</v>
      </c>
    </row>
    <row r="182" spans="14:19" x14ac:dyDescent="0.3">
      <c r="N182" s="160" t="str">
        <f t="shared" si="4"/>
        <v>000428307</v>
      </c>
      <c r="O182" s="166">
        <v>428307001917</v>
      </c>
      <c r="P182" s="160" t="s">
        <v>1251</v>
      </c>
      <c r="Q182" s="160" t="s">
        <v>1252</v>
      </c>
      <c r="R182" s="160" t="s">
        <v>1253</v>
      </c>
      <c r="S182" s="2" t="s">
        <v>1206</v>
      </c>
    </row>
    <row r="183" spans="14:19" x14ac:dyDescent="0.3">
      <c r="N183" s="160" t="str">
        <f t="shared" si="4"/>
        <v>000428307</v>
      </c>
      <c r="O183" s="166">
        <v>428307001240</v>
      </c>
      <c r="P183" s="160" t="s">
        <v>1254</v>
      </c>
      <c r="Q183" s="160" t="s">
        <v>1252</v>
      </c>
      <c r="R183" s="160" t="s">
        <v>1255</v>
      </c>
      <c r="S183" s="2" t="s">
        <v>1206</v>
      </c>
    </row>
    <row r="184" spans="14:19" x14ac:dyDescent="0.3">
      <c r="N184" s="160" t="str">
        <f t="shared" si="4"/>
        <v>000428307</v>
      </c>
      <c r="O184" s="166">
        <v>428307001321</v>
      </c>
      <c r="P184" s="160" t="s">
        <v>1254</v>
      </c>
      <c r="Q184" s="160" t="s">
        <v>1252</v>
      </c>
      <c r="R184" s="160" t="s">
        <v>1255</v>
      </c>
      <c r="S184" s="2" t="s">
        <v>1206</v>
      </c>
    </row>
    <row r="185" spans="14:19" x14ac:dyDescent="0.3">
      <c r="N185" s="160" t="str">
        <f t="shared" si="4"/>
        <v>000428307</v>
      </c>
      <c r="O185" s="166">
        <v>428307000279</v>
      </c>
      <c r="P185" s="160" t="s">
        <v>1254</v>
      </c>
      <c r="Q185" s="160" t="s">
        <v>1252</v>
      </c>
      <c r="R185" s="160" t="s">
        <v>1256</v>
      </c>
      <c r="S185" s="2" t="s">
        <v>1206</v>
      </c>
    </row>
    <row r="186" spans="14:19" x14ac:dyDescent="0.3">
      <c r="N186" s="160" t="str">
        <f t="shared" si="4"/>
        <v>000428307</v>
      </c>
      <c r="O186" s="166">
        <v>428307000864</v>
      </c>
      <c r="P186" s="160" t="s">
        <v>1251</v>
      </c>
      <c r="Q186" s="160" t="s">
        <v>1252</v>
      </c>
      <c r="R186" s="160" t="s">
        <v>1226</v>
      </c>
      <c r="S186" s="155" t="s">
        <v>1206</v>
      </c>
    </row>
    <row r="187" spans="14:19" x14ac:dyDescent="0.3">
      <c r="N187" s="160" t="str">
        <f t="shared" si="4"/>
        <v>000428307</v>
      </c>
      <c r="O187" s="166">
        <v>428307000600</v>
      </c>
      <c r="P187" s="160" t="s">
        <v>1251</v>
      </c>
      <c r="Q187" s="160" t="s">
        <v>1252</v>
      </c>
      <c r="R187" s="160" t="s">
        <v>1257</v>
      </c>
      <c r="S187" s="155" t="s">
        <v>1206</v>
      </c>
    </row>
    <row r="188" spans="14:19" x14ac:dyDescent="0.3">
      <c r="N188" s="160" t="str">
        <f t="shared" si="4"/>
        <v>000428307</v>
      </c>
      <c r="O188" s="166">
        <v>428307000198</v>
      </c>
      <c r="P188" s="160" t="s">
        <v>1251</v>
      </c>
      <c r="Q188" s="160" t="s">
        <v>1252</v>
      </c>
      <c r="R188" s="160" t="s">
        <v>1258</v>
      </c>
      <c r="S188" s="155" t="s">
        <v>1206</v>
      </c>
    </row>
    <row r="189" spans="14:19" x14ac:dyDescent="0.3">
      <c r="N189" s="160" t="str">
        <f t="shared" si="4"/>
        <v>000428307</v>
      </c>
      <c r="O189" s="166">
        <v>428307001674</v>
      </c>
      <c r="P189" s="160" t="s">
        <v>1251</v>
      </c>
      <c r="Q189" s="160" t="s">
        <v>1252</v>
      </c>
      <c r="R189" s="160" t="s">
        <v>1259</v>
      </c>
      <c r="S189" s="155" t="s">
        <v>1206</v>
      </c>
    </row>
    <row r="190" spans="14:19" x14ac:dyDescent="0.3">
      <c r="N190" s="160" t="str">
        <f t="shared" si="4"/>
        <v>000428307</v>
      </c>
      <c r="O190" s="166">
        <v>428307000350</v>
      </c>
      <c r="P190" s="160" t="s">
        <v>1251</v>
      </c>
      <c r="Q190" s="160" t="s">
        <v>1252</v>
      </c>
      <c r="R190" s="160" t="s">
        <v>1235</v>
      </c>
      <c r="S190" s="155" t="s">
        <v>1206</v>
      </c>
    </row>
    <row r="191" spans="14:19" x14ac:dyDescent="0.3">
      <c r="N191" s="160" t="str">
        <f t="shared" si="4"/>
        <v>000428307</v>
      </c>
      <c r="O191" s="166">
        <v>428307000430</v>
      </c>
      <c r="P191" s="160" t="s">
        <v>1251</v>
      </c>
      <c r="Q191" s="160" t="s">
        <v>1252</v>
      </c>
      <c r="R191" s="160" t="s">
        <v>1260</v>
      </c>
      <c r="S191" s="155" t="s">
        <v>1206</v>
      </c>
    </row>
    <row r="192" spans="14:19" x14ac:dyDescent="0.3">
      <c r="N192" s="160" t="str">
        <f t="shared" si="4"/>
        <v>000428307</v>
      </c>
      <c r="O192" s="166">
        <v>428307000783</v>
      </c>
      <c r="P192" s="160" t="s">
        <v>1251</v>
      </c>
      <c r="Q192" s="160" t="s">
        <v>1252</v>
      </c>
      <c r="R192" s="160" t="s">
        <v>1261</v>
      </c>
      <c r="S192" s="2" t="s">
        <v>1206</v>
      </c>
    </row>
    <row r="193" spans="14:19" x14ac:dyDescent="0.3">
      <c r="N193" s="160" t="str">
        <f t="shared" si="4"/>
        <v>000428307</v>
      </c>
      <c r="O193" s="166">
        <v>428307000511</v>
      </c>
      <c r="P193" s="160" t="s">
        <v>1251</v>
      </c>
      <c r="Q193" s="160" t="s">
        <v>1252</v>
      </c>
      <c r="R193" s="160" t="s">
        <v>1262</v>
      </c>
      <c r="S193" s="2" t="s">
        <v>1206</v>
      </c>
    </row>
    <row r="194" spans="14:19" x14ac:dyDescent="0.3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1263</v>
      </c>
      <c r="Q194" s="160" t="s">
        <v>1252</v>
      </c>
      <c r="R194" s="160" t="s">
        <v>1264</v>
      </c>
      <c r="S194" s="2" t="s">
        <v>1206</v>
      </c>
    </row>
    <row r="195" spans="14:19" x14ac:dyDescent="0.3">
      <c r="N195" s="160" t="str">
        <f t="shared" si="6"/>
        <v>000428307</v>
      </c>
      <c r="O195" s="166">
        <v>428307001089</v>
      </c>
      <c r="P195" s="160" t="s">
        <v>1265</v>
      </c>
      <c r="Q195" s="160" t="s">
        <v>1252</v>
      </c>
      <c r="R195" s="160" t="s">
        <v>1266</v>
      </c>
      <c r="S195" s="2" t="s">
        <v>1206</v>
      </c>
    </row>
    <row r="196" spans="14:19" x14ac:dyDescent="0.3">
      <c r="N196" s="160" t="str">
        <f t="shared" si="6"/>
        <v>000428307</v>
      </c>
      <c r="O196" s="166">
        <v>428307002301</v>
      </c>
      <c r="P196" s="160" t="s">
        <v>1263</v>
      </c>
      <c r="Q196" s="160" t="s">
        <v>1252</v>
      </c>
      <c r="R196" s="160" t="s">
        <v>849</v>
      </c>
      <c r="S196" s="2" t="s">
        <v>1206</v>
      </c>
    </row>
    <row r="197" spans="14:19" x14ac:dyDescent="0.3">
      <c r="N197" s="160" t="str">
        <f t="shared" si="6"/>
        <v>000428307</v>
      </c>
      <c r="O197" s="166">
        <v>428307002484</v>
      </c>
      <c r="P197" s="160" t="s">
        <v>1254</v>
      </c>
      <c r="Q197" s="160" t="s">
        <v>1252</v>
      </c>
      <c r="R197" s="160" t="s">
        <v>1258</v>
      </c>
      <c r="S197" s="2" t="s">
        <v>1206</v>
      </c>
    </row>
    <row r="198" spans="14:19" x14ac:dyDescent="0.3">
      <c r="N198" s="160" t="str">
        <f t="shared" si="6"/>
        <v>080227796</v>
      </c>
      <c r="O198" s="166">
        <v>80227796006785</v>
      </c>
      <c r="P198" s="160" t="s">
        <v>1267</v>
      </c>
      <c r="Q198" s="160" t="s">
        <v>510</v>
      </c>
      <c r="R198" s="160" t="s">
        <v>1268</v>
      </c>
      <c r="S198" s="2" t="s">
        <v>1206</v>
      </c>
    </row>
    <row r="199" spans="14:19" x14ac:dyDescent="0.3">
      <c r="N199" s="160" t="str">
        <f t="shared" si="6"/>
        <v>080227796</v>
      </c>
      <c r="O199" s="166">
        <v>80227796005894</v>
      </c>
      <c r="P199" s="160" t="s">
        <v>1269</v>
      </c>
      <c r="Q199" s="160" t="s">
        <v>510</v>
      </c>
      <c r="R199" s="160" t="s">
        <v>849</v>
      </c>
      <c r="S199" s="2" t="s">
        <v>1206</v>
      </c>
    </row>
    <row r="200" spans="14:19" x14ac:dyDescent="0.3">
      <c r="N200" s="160" t="str">
        <f t="shared" si="6"/>
        <v>080227796</v>
      </c>
      <c r="O200" s="166">
        <v>80227796006270</v>
      </c>
      <c r="P200" s="160" t="s">
        <v>1270</v>
      </c>
      <c r="Q200" s="160" t="s">
        <v>510</v>
      </c>
      <c r="R200" s="160" t="s">
        <v>1271</v>
      </c>
      <c r="S200" s="2" t="s">
        <v>1206</v>
      </c>
    </row>
    <row r="201" spans="14:19" x14ac:dyDescent="0.3">
      <c r="N201" s="160" t="str">
        <f t="shared" si="6"/>
        <v>080227796</v>
      </c>
      <c r="O201" s="166">
        <v>80227796000159</v>
      </c>
      <c r="P201" s="160" t="s">
        <v>1270</v>
      </c>
      <c r="Q201" s="160" t="s">
        <v>510</v>
      </c>
      <c r="R201" s="160" t="s">
        <v>655</v>
      </c>
      <c r="S201" s="2" t="s">
        <v>1206</v>
      </c>
    </row>
    <row r="202" spans="14:19" x14ac:dyDescent="0.3">
      <c r="N202" s="160" t="str">
        <f t="shared" si="6"/>
        <v>080227796</v>
      </c>
      <c r="O202" s="166">
        <v>80227796005118</v>
      </c>
      <c r="P202" s="160" t="s">
        <v>1270</v>
      </c>
      <c r="Q202" s="160" t="s">
        <v>510</v>
      </c>
      <c r="R202" s="160" t="s">
        <v>1272</v>
      </c>
      <c r="S202" s="2" t="s">
        <v>1206</v>
      </c>
    </row>
    <row r="203" spans="14:19" x14ac:dyDescent="0.3">
      <c r="N203" s="160" t="str">
        <f t="shared" si="6"/>
        <v>080227796</v>
      </c>
      <c r="O203" s="166">
        <v>80227796001473</v>
      </c>
      <c r="P203" s="160" t="s">
        <v>1270</v>
      </c>
      <c r="Q203" s="160" t="s">
        <v>510</v>
      </c>
      <c r="R203" s="160" t="s">
        <v>1131</v>
      </c>
      <c r="S203" s="2" t="s">
        <v>1206</v>
      </c>
    </row>
    <row r="204" spans="14:19" x14ac:dyDescent="0.3">
      <c r="N204" s="160" t="str">
        <f t="shared" si="6"/>
        <v>0</v>
      </c>
      <c r="O204" s="166"/>
      <c r="P204" s="160"/>
      <c r="Q204" s="160"/>
      <c r="R204" s="160"/>
    </row>
    <row r="205" spans="14:19" x14ac:dyDescent="0.3">
      <c r="N205" s="160" t="str">
        <f t="shared" si="6"/>
        <v>0</v>
      </c>
      <c r="O205" s="166"/>
      <c r="P205" s="160"/>
      <c r="Q205" s="160"/>
      <c r="R205" s="160"/>
    </row>
    <row r="206" spans="14:19" x14ac:dyDescent="0.3">
      <c r="N206" s="160" t="str">
        <f t="shared" si="6"/>
        <v>0</v>
      </c>
      <c r="O206" s="166"/>
      <c r="P206" s="160"/>
      <c r="Q206" s="160"/>
      <c r="R206" s="160"/>
    </row>
    <row r="207" spans="14:19" x14ac:dyDescent="0.3">
      <c r="N207" s="160" t="str">
        <f t="shared" si="6"/>
        <v>0</v>
      </c>
      <c r="O207" s="166"/>
      <c r="P207" s="160"/>
      <c r="Q207" s="160"/>
      <c r="R207" s="160"/>
    </row>
    <row r="208" spans="14:19" x14ac:dyDescent="0.25">
      <c r="S208" s="153"/>
    </row>
    <row r="209" spans="19:19" x14ac:dyDescent="0.25">
      <c r="S209" s="153"/>
    </row>
    <row r="210" spans="19:19" x14ac:dyDescent="0.25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A1:BN169"/>
  <sheetViews>
    <sheetView showGridLines="0" zoomScale="70" zoomScaleNormal="70" workbookViewId="0">
      <selection activeCell="Z57" sqref="Z57"/>
    </sheetView>
  </sheetViews>
  <sheetFormatPr defaultColWidth="8.88671875" defaultRowHeight="13.5" customHeight="1" x14ac:dyDescent="0.3"/>
  <cols>
    <col min="1" max="1" width="1.5546875" style="167" customWidth="1"/>
    <col min="2" max="2" width="16.5546875" style="167" bestFit="1" customWidth="1"/>
    <col min="3" max="3" width="14.44140625" style="167" bestFit="1" customWidth="1"/>
    <col min="4" max="4" width="12.44140625" style="167" bestFit="1" customWidth="1"/>
    <col min="5" max="5" width="13.5546875" style="167" bestFit="1" customWidth="1"/>
    <col min="6" max="6" width="12.109375" style="167" bestFit="1" customWidth="1"/>
    <col min="7" max="7" width="14.109375" style="167" bestFit="1" customWidth="1"/>
    <col min="8" max="8" width="11.88671875" style="167" bestFit="1" customWidth="1"/>
    <col min="9" max="9" width="16.33203125" style="167" bestFit="1" customWidth="1"/>
    <col min="10" max="10" width="9.44140625" style="167" bestFit="1" customWidth="1"/>
    <col min="11" max="11" width="12.44140625" style="167" bestFit="1" customWidth="1"/>
    <col min="12" max="12" width="13.5546875" style="167" bestFit="1" customWidth="1"/>
    <col min="13" max="13" width="12.109375" style="167" bestFit="1" customWidth="1"/>
    <col min="14" max="14" width="14.109375" style="167" bestFit="1" customWidth="1"/>
    <col min="15" max="15" width="1" style="167" customWidth="1"/>
    <col min="16" max="16" width="14.88671875" style="167" bestFit="1" customWidth="1"/>
    <col min="17" max="17" width="9.44140625" style="178" bestFit="1" customWidth="1"/>
    <col min="18" max="18" width="11.5546875" style="181" bestFit="1" customWidth="1"/>
    <col min="19" max="19" width="8.44140625" style="181" bestFit="1" customWidth="1"/>
    <col min="20" max="20" width="10.109375" style="178" bestFit="1" customWidth="1"/>
    <col min="21" max="21" width="1" style="167" customWidth="1"/>
    <col min="22" max="22" width="12.44140625" style="167" bestFit="1" customWidth="1"/>
    <col min="23" max="23" width="9.44140625" style="167" bestFit="1" customWidth="1"/>
    <col min="24" max="24" width="11.5546875" style="167" bestFit="1" customWidth="1"/>
    <col min="25" max="25" width="8.44140625" style="167" bestFit="1" customWidth="1"/>
    <col min="26" max="26" width="10.109375" style="167" bestFit="1" customWidth="1"/>
    <col min="27" max="27" width="1" style="167" customWidth="1"/>
    <col min="28" max="28" width="14.44140625" style="167" bestFit="1" customWidth="1"/>
    <col min="29" max="29" width="8.6640625" style="167" bestFit="1" customWidth="1"/>
    <col min="30" max="30" width="6.109375" style="167" bestFit="1" customWidth="1"/>
    <col min="31" max="31" width="1" style="167" customWidth="1"/>
    <col min="32" max="32" width="14.44140625" style="167" bestFit="1" customWidth="1"/>
    <col min="33" max="33" width="8.6640625" style="167" bestFit="1" customWidth="1"/>
    <col min="34" max="34" width="1" style="167" customWidth="1"/>
    <col min="35" max="35" width="20" style="167" bestFit="1" customWidth="1"/>
    <col min="36" max="36" width="8.6640625" style="167" bestFit="1" customWidth="1"/>
    <col min="37" max="37" width="1" style="167" customWidth="1"/>
    <col min="38" max="38" width="17.44140625" style="167" bestFit="1" customWidth="1"/>
    <col min="39" max="39" width="9.44140625" style="178" bestFit="1" customWidth="1"/>
    <col min="40" max="40" width="1" style="167" customWidth="1"/>
    <col min="41" max="41" width="19.33203125" style="167" bestFit="1" customWidth="1"/>
    <col min="42" max="42" width="8.6640625" style="178" bestFit="1" customWidth="1"/>
    <col min="43" max="43" width="1" style="167" customWidth="1"/>
    <col min="44" max="44" width="18.44140625" style="167" bestFit="1" customWidth="1"/>
    <col min="45" max="45" width="8.6640625" style="167" bestFit="1" customWidth="1"/>
    <col min="46" max="46" width="1" style="167" customWidth="1"/>
    <col min="47" max="47" width="18.44140625" style="167" bestFit="1" customWidth="1"/>
    <col min="48" max="48" width="8.6640625" style="167" bestFit="1" customWidth="1"/>
    <col min="49" max="49" width="1" style="167" customWidth="1"/>
    <col min="50" max="50" width="9.88671875" style="167" bestFit="1" customWidth="1"/>
    <col min="51" max="51" width="9" style="167" bestFit="1" customWidth="1"/>
    <col min="52" max="52" width="11.109375" style="167" bestFit="1" customWidth="1"/>
    <col min="53" max="53" width="15.5546875" style="167" bestFit="1" customWidth="1"/>
    <col min="54" max="54" width="12.88671875" style="167" bestFit="1" customWidth="1"/>
    <col min="55" max="55" width="13.33203125" style="241" bestFit="1" customWidth="1"/>
    <col min="56" max="56" width="14.88671875" style="156" bestFit="1" customWidth="1"/>
    <col min="57" max="57" width="9.44140625" style="156" bestFit="1" customWidth="1"/>
    <col min="58" max="58" width="9.33203125" style="156" bestFit="1" customWidth="1"/>
    <col min="59" max="59" width="6.109375" style="156" bestFit="1" customWidth="1"/>
    <col min="60" max="60" width="7.88671875" style="156" bestFit="1" customWidth="1"/>
    <col min="61" max="61" width="8.88671875" style="156"/>
    <col min="62" max="62" width="17.44140625" style="156" bestFit="1" customWidth="1"/>
    <col min="63" max="63" width="9.44140625" style="156" bestFit="1" customWidth="1"/>
    <col min="64" max="64" width="8.88671875" style="156"/>
    <col min="65" max="65" width="18.88671875" style="156" bestFit="1" customWidth="1"/>
    <col min="66" max="66" width="8.6640625" style="156" bestFit="1" customWidth="1"/>
    <col min="67" max="16384" width="8.88671875" style="156"/>
  </cols>
  <sheetData>
    <row r="1" spans="2:66" ht="13.8" x14ac:dyDescent="0.3">
      <c r="B1" s="168" t="s">
        <v>1273</v>
      </c>
      <c r="C1" s="169"/>
      <c r="I1" s="170" t="s">
        <v>1274</v>
      </c>
      <c r="P1" s="170" t="s">
        <v>1275</v>
      </c>
      <c r="V1" s="170" t="s">
        <v>1276</v>
      </c>
      <c r="AB1" s="170" t="s">
        <v>1277</v>
      </c>
      <c r="AF1" s="170" t="s">
        <v>1278</v>
      </c>
      <c r="AI1" s="170" t="s">
        <v>1279</v>
      </c>
      <c r="AL1" s="170" t="s">
        <v>1280</v>
      </c>
      <c r="AO1" s="170" t="s">
        <v>1281</v>
      </c>
      <c r="AR1" s="170" t="s">
        <v>1282</v>
      </c>
      <c r="AU1" s="170" t="s">
        <v>1283</v>
      </c>
      <c r="AX1" s="170" t="s">
        <v>1284</v>
      </c>
      <c r="BD1" s="170" t="s">
        <v>1275</v>
      </c>
      <c r="BE1" s="167"/>
      <c r="BF1" s="167"/>
      <c r="BG1" s="167"/>
      <c r="BH1" s="167"/>
      <c r="BJ1" s="170" t="s">
        <v>1280</v>
      </c>
      <c r="BK1" s="167"/>
      <c r="BL1" s="167"/>
      <c r="BM1" s="170" t="s">
        <v>1281</v>
      </c>
      <c r="BN1" s="167"/>
    </row>
    <row r="2" spans="2:66" ht="13.8" x14ac:dyDescent="0.3">
      <c r="B2" s="198" t="s">
        <v>1285</v>
      </c>
      <c r="C2" s="199" t="s">
        <v>159</v>
      </c>
      <c r="D2" s="199" t="s">
        <v>330</v>
      </c>
      <c r="E2" s="199" t="s">
        <v>196</v>
      </c>
      <c r="F2" s="199" t="s">
        <v>179</v>
      </c>
      <c r="G2" s="200" t="s">
        <v>182</v>
      </c>
      <c r="I2" s="219" t="s">
        <v>1286</v>
      </c>
      <c r="J2" s="220" t="s">
        <v>159</v>
      </c>
      <c r="K2" s="220" t="s">
        <v>330</v>
      </c>
      <c r="L2" s="220" t="s">
        <v>196</v>
      </c>
      <c r="M2" s="220" t="s">
        <v>179</v>
      </c>
      <c r="N2" s="221" t="s">
        <v>182</v>
      </c>
      <c r="O2" s="171"/>
      <c r="P2" s="199" t="s">
        <v>1287</v>
      </c>
      <c r="Q2" s="232" t="s">
        <v>396</v>
      </c>
      <c r="R2" s="233" t="s">
        <v>1288</v>
      </c>
      <c r="S2" s="233" t="s">
        <v>1289</v>
      </c>
      <c r="T2" s="231" t="s">
        <v>1290</v>
      </c>
      <c r="U2" s="171"/>
      <c r="V2" s="199" t="s">
        <v>1291</v>
      </c>
      <c r="W2" s="199" t="s">
        <v>396</v>
      </c>
      <c r="X2" s="199" t="s">
        <v>1288</v>
      </c>
      <c r="Y2" s="199" t="s">
        <v>1289</v>
      </c>
      <c r="Z2" s="200" t="s">
        <v>1290</v>
      </c>
      <c r="AA2" s="171"/>
      <c r="AB2" s="220" t="s">
        <v>1292</v>
      </c>
      <c r="AC2" s="220" t="s">
        <v>396</v>
      </c>
      <c r="AD2" s="220" t="s">
        <v>1293</v>
      </c>
      <c r="AF2" s="220" t="s">
        <v>1294</v>
      </c>
      <c r="AG2" s="220" t="s">
        <v>396</v>
      </c>
      <c r="AI2" s="220" t="s">
        <v>1295</v>
      </c>
      <c r="AJ2" s="220" t="s">
        <v>396</v>
      </c>
      <c r="AL2" s="234" t="s">
        <v>1296</v>
      </c>
      <c r="AM2" s="239" t="s">
        <v>396</v>
      </c>
      <c r="AO2" s="234" t="s">
        <v>1297</v>
      </c>
      <c r="AP2" s="239" t="s">
        <v>396</v>
      </c>
      <c r="AQ2" s="171"/>
      <c r="AR2" s="220" t="s">
        <v>1298</v>
      </c>
      <c r="AS2" s="235" t="s">
        <v>396</v>
      </c>
      <c r="AU2" s="220" t="s">
        <v>1298</v>
      </c>
      <c r="AV2" s="235" t="s">
        <v>396</v>
      </c>
      <c r="AX2" s="199" t="s">
        <v>1299</v>
      </c>
      <c r="AY2" s="238" t="s">
        <v>1289</v>
      </c>
      <c r="AZ2" s="200" t="s">
        <v>1300</v>
      </c>
      <c r="BA2" s="200" t="s">
        <v>1301</v>
      </c>
      <c r="BD2" s="202" t="s">
        <v>1287</v>
      </c>
      <c r="BE2" s="202" t="s">
        <v>396</v>
      </c>
      <c r="BF2" s="202" t="s">
        <v>1288</v>
      </c>
      <c r="BG2" s="202" t="s">
        <v>1289</v>
      </c>
      <c r="BH2" s="202" t="s">
        <v>1290</v>
      </c>
      <c r="BJ2" s="201" t="s">
        <v>1296</v>
      </c>
      <c r="BK2" s="201" t="s">
        <v>396</v>
      </c>
      <c r="BL2" s="167"/>
      <c r="BM2" s="201" t="s">
        <v>1297</v>
      </c>
      <c r="BN2" s="201" t="s">
        <v>396</v>
      </c>
    </row>
    <row r="3" spans="2:66" ht="13.8" x14ac:dyDescent="0.3">
      <c r="B3" s="204" t="s">
        <v>1302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1303</v>
      </c>
      <c r="J3" s="173">
        <f>SUM(D10:D17)</f>
        <v>19410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7</v>
      </c>
      <c r="S3" s="208">
        <f t="shared" ca="1" si="0"/>
        <v>1482</v>
      </c>
      <c r="T3" s="180">
        <f t="shared" ca="1" si="0"/>
        <v>8.1317813765182176</v>
      </c>
      <c r="U3" s="207"/>
      <c r="V3" s="209" t="s">
        <v>209</v>
      </c>
      <c r="W3" s="210">
        <f ca="1">SUMIF('FRETE MÁQUINAS'!$B:$E,CUSTOS!V3,'FRETE MÁQUINAS'!$E:$E)</f>
        <v>14566</v>
      </c>
      <c r="X3" s="211">
        <f>COUNTIF('FRETE MÁQUINAS'!B:B,CUSTOS!V3)</f>
        <v>16</v>
      </c>
      <c r="Y3" s="177">
        <f ca="1">SUMIF('FRETE MÁQUINAS'!$B:$E,CUSTOS!V3,'FRETE MÁQUINAS'!$D:$D)</f>
        <v>3069</v>
      </c>
      <c r="Z3" s="180">
        <f ca="1">W3/Y3</f>
        <v>4.7461713913326813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9345.619999999999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7231.9999999999991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411</v>
      </c>
      <c r="AS3" s="213">
        <v>5633.04</v>
      </c>
      <c r="AU3" s="212" t="s">
        <v>444</v>
      </c>
      <c r="AV3" s="213">
        <v>4175</v>
      </c>
      <c r="AX3" s="236" t="s">
        <v>209</v>
      </c>
      <c r="AY3" s="177">
        <f ca="1">Y3</f>
        <v>3069</v>
      </c>
      <c r="AZ3" s="177">
        <f>AX7</f>
        <v>13</v>
      </c>
      <c r="BA3" s="237">
        <f ca="1">BB7</f>
        <v>0.7377403846153846</v>
      </c>
      <c r="BD3" s="174" t="str" cm="1">
        <f t="array" ref="BD3:BE10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7</v>
      </c>
      <c r="BG3" s="176">
        <f ca="1">SUMIF('FRETE MÁQUINAS'!$B:$E,CUSTOS!BD3,'FRETE MÁQUINAS'!$D:$D)</f>
        <v>1482</v>
      </c>
      <c r="BH3" s="175">
        <f ca="1">BE3/BG3</f>
        <v>8.1317813765182176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8" x14ac:dyDescent="0.3">
      <c r="B4" s="214" t="s">
        <v>1304</v>
      </c>
      <c r="C4" s="215">
        <f>AVERAGE(C6:C7)</f>
        <v>2298.0812500000002</v>
      </c>
      <c r="D4" s="215">
        <f>AVERAGE(D6:D7)</f>
        <v>0</v>
      </c>
      <c r="E4" s="215">
        <f>AVERAGE(E6:E7)</f>
        <v>732</v>
      </c>
      <c r="F4" s="215">
        <f>AVERAGE(F6:F7)</f>
        <v>271.875</v>
      </c>
      <c r="G4" s="216">
        <f>AVERAGE(G6:G7)</f>
        <v>734.375</v>
      </c>
      <c r="I4" s="217" t="s">
        <v>1305</v>
      </c>
      <c r="J4" s="173">
        <f>SUM(D18:D25)</f>
        <v>17359.3</v>
      </c>
      <c r="K4" s="173">
        <f>SUM(E18:E25)</f>
        <v>0</v>
      </c>
      <c r="L4" s="173">
        <f>SUM(F18:F25)</f>
        <v>9600</v>
      </c>
      <c r="M4" s="173">
        <f>SUM(G18:G25)</f>
        <v>3050</v>
      </c>
      <c r="N4" s="218">
        <f>SUM(H18:H25)</f>
        <v>6050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14556</v>
      </c>
      <c r="X4" s="211">
        <f>COUNTIF('FRETE MÁQUINAS'!B:B,CUSTOS!V4)</f>
        <v>13</v>
      </c>
      <c r="Y4" s="177">
        <f ca="1">SUMIF('FRETE MÁQUINAS'!$B:$E,CUSTOS!V4,'FRETE MÁQUINAS'!$D:$D)</f>
        <v>2426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312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1306</v>
      </c>
      <c r="AS4" s="175">
        <v>87.62</v>
      </c>
      <c r="AU4" s="174" t="s">
        <v>1306</v>
      </c>
      <c r="AV4" s="175"/>
      <c r="AX4" s="209" t="s">
        <v>189</v>
      </c>
      <c r="AY4" s="177">
        <f ca="1">Y4</f>
        <v>2426</v>
      </c>
      <c r="AZ4" s="177">
        <f>AX8</f>
        <v>16</v>
      </c>
      <c r="BA4" s="237">
        <f ca="1">BB8</f>
        <v>0.47382812499999993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8" x14ac:dyDescent="0.3">
      <c r="I5" s="222" t="s">
        <v>1307</v>
      </c>
      <c r="J5" s="223">
        <f>COUNTIF('FRETE MÁQUINAS'!$S:$S,CUSTOS!J2)</f>
        <v>49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13</v>
      </c>
      <c r="N5" s="224">
        <f>COUNTIF('FRETE MÁQUINAS'!$S:$S,CUSTOS!N2)</f>
        <v>15</v>
      </c>
      <c r="O5" s="181"/>
      <c r="P5" s="174" t="str">
        <f t="shared" si="3"/>
        <v>TERCEIRO ZORTEA</v>
      </c>
      <c r="Q5" s="175">
        <f t="shared" si="0"/>
        <v>5400</v>
      </c>
      <c r="R5" s="208">
        <f t="shared" si="0"/>
        <v>2</v>
      </c>
      <c r="S5" s="208">
        <f t="shared" ca="1" si="0"/>
        <v>956</v>
      </c>
      <c r="T5" s="180">
        <f t="shared" ca="1" si="0"/>
        <v>5.6485355648535567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1308</v>
      </c>
      <c r="AS5" s="175">
        <v>133.13</v>
      </c>
      <c r="AU5" s="174" t="s">
        <v>1308</v>
      </c>
      <c r="AV5" s="175"/>
      <c r="BD5" s="174" t="str">
        <v>TERCEIRO ZORTEA</v>
      </c>
      <c r="BE5" s="175">
        <v>5400</v>
      </c>
      <c r="BF5" s="208">
        <f>COUNTIF('FRETE MÁQUINAS'!B:B,CUSTOS!BD5)</f>
        <v>2</v>
      </c>
      <c r="BG5" s="176">
        <f ca="1">SUMIF('FRETE MÁQUINAS'!$B:$E,CUSTOS!BD5,'FRETE MÁQUINAS'!$D:$D)</f>
        <v>956</v>
      </c>
      <c r="BH5" s="175">
        <f t="shared" ca="1" si="4"/>
        <v>5.6485355648535567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8" x14ac:dyDescent="0.3">
      <c r="B6" s="174" t="s">
        <v>1309</v>
      </c>
      <c r="C6" s="175">
        <f>AVERAGE(D10:D17)</f>
        <v>2426.25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AGROMAQ</v>
      </c>
      <c r="Q6" s="175">
        <f t="shared" si="0"/>
        <v>4000</v>
      </c>
      <c r="R6" s="208">
        <f t="shared" si="0"/>
        <v>10</v>
      </c>
      <c r="S6" s="208">
        <f t="shared" ca="1" si="0"/>
        <v>1374</v>
      </c>
      <c r="T6" s="180">
        <f t="shared" ca="1" si="0"/>
        <v>2.9112081513828238</v>
      </c>
      <c r="U6" s="181"/>
      <c r="V6" s="181"/>
      <c r="W6" s="181"/>
      <c r="X6" s="181"/>
      <c r="Y6" s="181"/>
      <c r="Z6" s="181"/>
      <c r="AA6" s="178"/>
      <c r="AB6" s="174" t="s">
        <v>808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377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312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/>
      </c>
      <c r="AP6" s="240" t="str">
        <f t="shared" ref="AP6:AP35" si="6">IF(BN6=0,"",BN6)</f>
        <v/>
      </c>
      <c r="AQ6" s="178"/>
      <c r="AR6" s="174" t="s">
        <v>1310</v>
      </c>
      <c r="AS6" s="175"/>
      <c r="AU6" s="174" t="s">
        <v>1310</v>
      </c>
      <c r="AV6" s="175"/>
      <c r="AX6" s="203" t="s">
        <v>1300</v>
      </c>
      <c r="AY6" s="203" t="s">
        <v>1290</v>
      </c>
      <c r="AZ6" s="202" t="s">
        <v>1311</v>
      </c>
      <c r="BA6" s="203" t="s">
        <v>1312</v>
      </c>
      <c r="BB6" s="202" t="s">
        <v>1301</v>
      </c>
      <c r="BD6" s="174" t="str">
        <v>TERCEIRO AGROMAQ</v>
      </c>
      <c r="BE6" s="175">
        <v>4000</v>
      </c>
      <c r="BF6" s="208">
        <f>COUNTIF('FRETE MÁQUINAS'!B:B,CUSTOS!BD6)</f>
        <v>10</v>
      </c>
      <c r="BG6" s="176">
        <f ca="1">SUMIF('FRETE MÁQUINAS'!$B:$E,CUSTOS!BD6,'FRETE MÁQUINAS'!$D:$D)</f>
        <v>1374</v>
      </c>
      <c r="BH6" s="175">
        <f t="shared" ca="1" si="4"/>
        <v>2.9112081513828238</v>
      </c>
      <c r="BJ6" s="172" t="str">
        <v>UNIBOY COURIER</v>
      </c>
      <c r="BK6" s="173">
        <v>1860</v>
      </c>
      <c r="BL6" s="167"/>
      <c r="BM6" s="172"/>
      <c r="BN6" s="173"/>
    </row>
    <row r="7" spans="2:66" ht="13.8" x14ac:dyDescent="0.3">
      <c r="B7" s="174" t="s">
        <v>1313</v>
      </c>
      <c r="C7" s="175">
        <f>AVERAGE(D18:D25)</f>
        <v>2169.9124999999999</v>
      </c>
      <c r="D7" s="175">
        <f>AVERAGE(E18:E25)</f>
        <v>0</v>
      </c>
      <c r="E7" s="175">
        <f>AVERAGE(F18:F25)</f>
        <v>1200</v>
      </c>
      <c r="F7" s="180">
        <f>AVERAGE(G18:G25)</f>
        <v>381.25</v>
      </c>
      <c r="G7" s="175">
        <f>AVERAGE(H18:H25)</f>
        <v>756.25</v>
      </c>
      <c r="P7" s="174" t="str">
        <f t="shared" si="3"/>
        <v>TERCEIRO NELSON</v>
      </c>
      <c r="Q7" s="175">
        <f t="shared" si="0"/>
        <v>2270</v>
      </c>
      <c r="R7" s="208">
        <f t="shared" si="0"/>
        <v>2</v>
      </c>
      <c r="S7" s="208">
        <f t="shared" ca="1" si="0"/>
        <v>315</v>
      </c>
      <c r="T7" s="180">
        <f t="shared" ca="1" si="0"/>
        <v>7.2063492063492065</v>
      </c>
      <c r="AB7" s="174" t="s">
        <v>312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257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377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1314</v>
      </c>
      <c r="AS7" s="175"/>
      <c r="AU7" s="174" t="s">
        <v>1314</v>
      </c>
      <c r="AV7" s="175"/>
      <c r="AX7" s="177">
        <f>COUNTIF('FRETE MÁQUINAS'!B:B,"PROPRIO VW")</f>
        <v>13</v>
      </c>
      <c r="AY7" s="180">
        <f ca="1">W3/Y3</f>
        <v>4.7461713913326813</v>
      </c>
      <c r="AZ7" s="182">
        <f ca="1">IFERROR((Y3*1.5)/1440, "?")</f>
        <v>3.1968749999999999</v>
      </c>
      <c r="BA7" s="183">
        <f ca="1">IFERROR(Y3/AX7,0)</f>
        <v>236.07692307692307</v>
      </c>
      <c r="BB7" s="179">
        <f ca="1">IFERROR((AZ7*24)/(AX7*8),0)</f>
        <v>0.7377403846153846</v>
      </c>
      <c r="BD7" s="174" t="str">
        <v>TERCEIRO NELSON</v>
      </c>
      <c r="BE7" s="175">
        <v>2270</v>
      </c>
      <c r="BF7" s="208">
        <f>COUNTIF('FRETE MÁQUINAS'!B:B,CUSTOS!BD7)</f>
        <v>2</v>
      </c>
      <c r="BG7" s="176">
        <f ca="1">SUMIF('FRETE MÁQUINAS'!$B:$E,CUSTOS!BD7,'FRETE MÁQUINAS'!$D:$D)</f>
        <v>315</v>
      </c>
      <c r="BH7" s="175">
        <f t="shared" ca="1" si="4"/>
        <v>7.2063492063492065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8" x14ac:dyDescent="0.3">
      <c r="I8" s="171"/>
      <c r="J8" s="171"/>
      <c r="K8" s="171"/>
      <c r="L8" s="171"/>
      <c r="M8" s="171"/>
      <c r="N8" s="171"/>
      <c r="P8" s="174" t="str">
        <f t="shared" si="3"/>
        <v>TERCEIRO JAPONES</v>
      </c>
      <c r="Q8" s="175">
        <f t="shared" si="0"/>
        <v>1328</v>
      </c>
      <c r="R8" s="208">
        <f t="shared" si="0"/>
        <v>1</v>
      </c>
      <c r="S8" s="208">
        <f t="shared" ca="1" si="0"/>
        <v>166</v>
      </c>
      <c r="T8" s="180">
        <f t="shared" ca="1" si="0"/>
        <v>8</v>
      </c>
      <c r="AB8" s="174" t="s">
        <v>377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1315</v>
      </c>
      <c r="AS8" s="175"/>
      <c r="AU8" s="174" t="s">
        <v>1315</v>
      </c>
      <c r="AV8" s="175">
        <v>250.79</v>
      </c>
      <c r="AX8" s="177">
        <f>COUNTIF('FRETE MÁQUINAS'!B:B,"PROPRIO DAF")</f>
        <v>16</v>
      </c>
      <c r="AY8" s="180">
        <f ca="1">W4/Y4</f>
        <v>6</v>
      </c>
      <c r="AZ8" s="182">
        <f ca="1">IFERROR((Y4*1.5)/1440, "?")</f>
        <v>2.5270833333333331</v>
      </c>
      <c r="BA8" s="183">
        <f ca="1">IFERROR(Y4/AX8,0)</f>
        <v>151.625</v>
      </c>
      <c r="BB8" s="179">
        <f ca="1">IFERROR((AZ8*24)/(AX8*8),0)</f>
        <v>0.47382812499999993</v>
      </c>
      <c r="BD8" s="174" t="str">
        <v>TERCEIRO JAPONES</v>
      </c>
      <c r="BE8" s="175">
        <v>1328</v>
      </c>
      <c r="BF8" s="208">
        <f>COUNTIF('FRETE MÁQUINAS'!B:B,CUSTOS!BD8)</f>
        <v>1</v>
      </c>
      <c r="BG8" s="176">
        <f ca="1">SUMIF('FRETE MÁQUINAS'!$B:$E,CUSTOS!BD8,'FRETE MÁQUINAS'!$D:$D)</f>
        <v>166</v>
      </c>
      <c r="BH8" s="175">
        <f t="shared" ca="1" si="4"/>
        <v>8</v>
      </c>
      <c r="BJ8" s="172" t="str">
        <v>ANDREIA R. COURIER</v>
      </c>
      <c r="BK8" s="173">
        <v>550</v>
      </c>
      <c r="BL8" s="167"/>
      <c r="BM8" s="172"/>
      <c r="BN8" s="173"/>
    </row>
    <row r="9" spans="2:66" ht="13.8" x14ac:dyDescent="0.3">
      <c r="B9" s="225" t="s">
        <v>142</v>
      </c>
      <c r="C9" s="225" t="s">
        <v>1316</v>
      </c>
      <c r="D9" s="225" t="s">
        <v>159</v>
      </c>
      <c r="E9" s="225" t="s">
        <v>330</v>
      </c>
      <c r="F9" s="225" t="s">
        <v>196</v>
      </c>
      <c r="G9" s="225" t="s">
        <v>179</v>
      </c>
      <c r="H9" s="225" t="s">
        <v>182</v>
      </c>
      <c r="I9" s="225" t="s">
        <v>1317</v>
      </c>
      <c r="J9" s="225" t="s">
        <v>1318</v>
      </c>
      <c r="K9" s="171"/>
      <c r="L9" s="171"/>
      <c r="M9" s="171"/>
      <c r="N9" s="171"/>
      <c r="P9" s="174" t="str">
        <f t="shared" si="3"/>
        <v>TERCEIRO DEMETRIO</v>
      </c>
      <c r="Q9" s="175">
        <f t="shared" si="0"/>
        <v>1100</v>
      </c>
      <c r="R9" s="208">
        <f t="shared" si="0"/>
        <v>5</v>
      </c>
      <c r="S9" s="208">
        <f t="shared" ca="1" si="0"/>
        <v>518</v>
      </c>
      <c r="T9" s="180">
        <f t="shared" ca="1" si="0"/>
        <v>2.1235521235521237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257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1319</v>
      </c>
      <c r="AS9" s="175"/>
      <c r="AU9" s="174" t="s">
        <v>1319</v>
      </c>
      <c r="AV9" s="175"/>
      <c r="BD9" s="174" t="str">
        <v>TERCEIRO DEMETRIO</v>
      </c>
      <c r="BE9" s="175">
        <v>1100</v>
      </c>
      <c r="BF9" s="208">
        <f>COUNTIF('FRETE MÁQUINAS'!B:B,CUSTOS!BD9)</f>
        <v>5</v>
      </c>
      <c r="BG9" s="176">
        <f ca="1">SUMIF('FRETE MÁQUINAS'!$B:$E,CUSTOS!BD9,'FRETE MÁQUINAS'!$D:$D)</f>
        <v>518</v>
      </c>
      <c r="BH9" s="175">
        <f t="shared" ca="1" si="4"/>
        <v>2.1235521235521237</v>
      </c>
      <c r="BJ9" s="172" t="str">
        <v>JOHN ELVIS COURIER</v>
      </c>
      <c r="BK9" s="173">
        <v>150</v>
      </c>
      <c r="BL9" s="167"/>
      <c r="BM9" s="172"/>
      <c r="BN9" s="173"/>
    </row>
    <row r="10" spans="2:66" ht="13.8" x14ac:dyDescent="0.3">
      <c r="B10" s="192" t="s">
        <v>1320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2634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6796</v>
      </c>
      <c r="J10" s="194">
        <f>IFERROR(COUNTIFS( 'FRETE MÁQUINAS'!$R:$R, CUSTOS!C10,'FRETE MÁQUINAS'!$B:$B, "PROPRIO*" ), 0)</f>
        <v>14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1321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1321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1321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1322</v>
      </c>
      <c r="AS10" s="230">
        <v>6520</v>
      </c>
      <c r="AU10" s="227" t="s">
        <v>1322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8" x14ac:dyDescent="0.3">
      <c r="B11" s="192" t="s">
        <v>1320</v>
      </c>
      <c r="C11" s="192" t="s">
        <v>312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8" x14ac:dyDescent="0.3">
      <c r="B12" s="192" t="s">
        <v>1320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1323</v>
      </c>
      <c r="AU12" s="167" t="s">
        <v>1323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8" x14ac:dyDescent="0.3">
      <c r="B13" s="192" t="s">
        <v>1320</v>
      </c>
      <c r="C13" s="192" t="s">
        <v>377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8" x14ac:dyDescent="0.3">
      <c r="B14" s="192" t="s">
        <v>1320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8" x14ac:dyDescent="0.3">
      <c r="B15" s="192" t="s">
        <v>1320</v>
      </c>
      <c r="C15" s="192" t="s">
        <v>257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8" x14ac:dyDescent="0.3">
      <c r="B16" s="192" t="s">
        <v>1320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8" x14ac:dyDescent="0.3">
      <c r="B17" s="192" t="s">
        <v>1320</v>
      </c>
      <c r="C17" s="192" t="s">
        <v>1321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8" x14ac:dyDescent="0.3">
      <c r="B18" s="195" t="s">
        <v>1324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8" x14ac:dyDescent="0.3">
      <c r="B19" s="195" t="s">
        <v>1324</v>
      </c>
      <c r="C19" s="195" t="s">
        <v>312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8" x14ac:dyDescent="0.3">
      <c r="B20" s="195" t="s">
        <v>1324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2400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5400</v>
      </c>
      <c r="I20" s="196">
        <f t="shared" si="7"/>
        <v>12398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8" x14ac:dyDescent="0.3">
      <c r="B21" s="195" t="s">
        <v>1324</v>
      </c>
      <c r="C21" s="195" t="s">
        <v>377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8" x14ac:dyDescent="0.3">
      <c r="B22" s="195" t="s">
        <v>1324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2010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2010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8" x14ac:dyDescent="0.3">
      <c r="B23" s="195" t="s">
        <v>1324</v>
      </c>
      <c r="C23" s="195" t="s">
        <v>257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8" x14ac:dyDescent="0.3">
      <c r="B24" s="195" t="s">
        <v>1324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7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8" x14ac:dyDescent="0.3">
      <c r="B25" s="195" t="s">
        <v>1324</v>
      </c>
      <c r="C25" s="195" t="s">
        <v>1321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8" x14ac:dyDescent="0.3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8" x14ac:dyDescent="0.3">
      <c r="C27" s="250" t="s">
        <v>1325</v>
      </c>
      <c r="D27" s="250"/>
      <c r="E27" s="250"/>
      <c r="F27" s="250"/>
      <c r="G27" s="250"/>
      <c r="H27" s="250"/>
      <c r="I27" s="250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8" x14ac:dyDescent="0.3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8" x14ac:dyDescent="0.3">
      <c r="C29" s="188" t="s">
        <v>312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8" x14ac:dyDescent="0.3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2400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12140</v>
      </c>
      <c r="I30" s="189">
        <f t="shared" si="13"/>
        <v>14540</v>
      </c>
      <c r="J30" s="186">
        <f t="shared" si="12"/>
        <v>19138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8" x14ac:dyDescent="0.3">
      <c r="C31" s="188" t="s">
        <v>377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8" x14ac:dyDescent="0.3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2010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2010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8" x14ac:dyDescent="0.3">
      <c r="C33" s="188" t="s">
        <v>257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8" x14ac:dyDescent="0.3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8" x14ac:dyDescent="0.3">
      <c r="C35" s="188" t="s">
        <v>1321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8" x14ac:dyDescent="0.3">
      <c r="BJ36" s="167"/>
      <c r="BK36" s="167"/>
      <c r="BL36" s="167"/>
      <c r="BM36" s="167"/>
      <c r="BN36" s="167"/>
    </row>
    <row r="37" spans="3:66" ht="13.8" x14ac:dyDescent="0.3">
      <c r="BJ37" s="167"/>
      <c r="BK37" s="167"/>
      <c r="BL37" s="167"/>
      <c r="BM37" s="167"/>
      <c r="BN37" s="167"/>
    </row>
    <row r="38" spans="3:66" ht="13.8" x14ac:dyDescent="0.3">
      <c r="BJ38" s="167"/>
      <c r="BK38" s="167"/>
      <c r="BL38" s="167"/>
      <c r="BM38" s="167"/>
      <c r="BN38" s="167"/>
    </row>
    <row r="39" spans="3:66" ht="13.8" x14ac:dyDescent="0.3">
      <c r="BJ39" s="167"/>
      <c r="BK39" s="167"/>
      <c r="BL39" s="167"/>
      <c r="BM39" s="167"/>
      <c r="BN39" s="167"/>
    </row>
    <row r="40" spans="3:66" ht="13.8" x14ac:dyDescent="0.3">
      <c r="BJ40" s="167"/>
      <c r="BK40" s="167"/>
      <c r="BL40" s="167"/>
      <c r="BM40" s="167"/>
      <c r="BN40" s="167"/>
    </row>
    <row r="41" spans="3:66" ht="13.8" x14ac:dyDescent="0.3">
      <c r="BJ41" s="167"/>
      <c r="BK41" s="167"/>
      <c r="BL41" s="167"/>
      <c r="BM41" s="167"/>
      <c r="BN41" s="167"/>
    </row>
    <row r="42" spans="3:66" ht="13.8" x14ac:dyDescent="0.3">
      <c r="BJ42" s="167"/>
      <c r="BK42" s="167"/>
      <c r="BL42" s="167"/>
      <c r="BM42" s="167"/>
      <c r="BN42" s="167"/>
    </row>
    <row r="43" spans="3:66" ht="13.8" x14ac:dyDescent="0.3">
      <c r="BJ43" s="167"/>
      <c r="BK43" s="167"/>
      <c r="BL43" s="167"/>
      <c r="BM43" s="167"/>
      <c r="BN43" s="167"/>
    </row>
    <row r="44" spans="3:66" ht="13.8" x14ac:dyDescent="0.3">
      <c r="BJ44" s="167"/>
      <c r="BK44" s="167"/>
      <c r="BL44" s="167"/>
      <c r="BM44" s="167"/>
      <c r="BN44" s="167"/>
    </row>
    <row r="45" spans="3:66" ht="13.8" x14ac:dyDescent="0.3">
      <c r="BJ45" s="167"/>
      <c r="BK45" s="167"/>
      <c r="BL45" s="167"/>
      <c r="BM45" s="167"/>
      <c r="BN45" s="167"/>
    </row>
    <row r="46" spans="3:66" ht="13.8" x14ac:dyDescent="0.3">
      <c r="BJ46" s="167"/>
      <c r="BK46" s="167"/>
      <c r="BL46" s="167"/>
      <c r="BM46" s="167"/>
      <c r="BN46" s="167"/>
    </row>
    <row r="47" spans="3:66" ht="13.8" x14ac:dyDescent="0.3">
      <c r="BJ47" s="167"/>
      <c r="BK47" s="167"/>
      <c r="BL47" s="167"/>
      <c r="BM47" s="167"/>
      <c r="BN47" s="167"/>
    </row>
    <row r="48" spans="3:66" ht="13.8" x14ac:dyDescent="0.3">
      <c r="BJ48" s="167"/>
      <c r="BK48" s="167"/>
      <c r="BL48" s="167"/>
      <c r="BM48" s="167"/>
      <c r="BN48" s="167"/>
    </row>
    <row r="49" spans="62:66" ht="13.8" x14ac:dyDescent="0.3">
      <c r="BJ49" s="167"/>
      <c r="BK49" s="167"/>
      <c r="BL49" s="167"/>
      <c r="BM49" s="167"/>
      <c r="BN49" s="167"/>
    </row>
    <row r="50" spans="62:66" ht="13.5" customHeight="1" x14ac:dyDescent="0.3">
      <c r="BJ50" s="167"/>
      <c r="BK50" s="167"/>
      <c r="BL50" s="167"/>
      <c r="BM50" s="167"/>
      <c r="BN50" s="167"/>
    </row>
    <row r="51" spans="62:66" ht="13.5" customHeight="1" x14ac:dyDescent="0.3">
      <c r="BJ51" s="167"/>
      <c r="BK51" s="167"/>
      <c r="BL51" s="167"/>
      <c r="BM51" s="167"/>
      <c r="BN51" s="167"/>
    </row>
    <row r="52" spans="62:66" ht="13.5" customHeight="1" x14ac:dyDescent="0.3">
      <c r="BJ52" s="167"/>
      <c r="BK52" s="167"/>
      <c r="BL52" s="167"/>
      <c r="BM52" s="167"/>
      <c r="BN52" s="167"/>
    </row>
    <row r="53" spans="62:66" ht="13.5" customHeight="1" x14ac:dyDescent="0.3">
      <c r="BJ53" s="167"/>
      <c r="BK53" s="167"/>
      <c r="BL53" s="167"/>
      <c r="BM53" s="167"/>
      <c r="BN53" s="167"/>
    </row>
    <row r="54" spans="62:66" ht="13.5" customHeight="1" x14ac:dyDescent="0.3">
      <c r="BJ54" s="167"/>
      <c r="BK54" s="167"/>
      <c r="BL54" s="167"/>
      <c r="BM54" s="167"/>
      <c r="BN54" s="167"/>
    </row>
    <row r="55" spans="62:66" ht="13.5" customHeight="1" x14ac:dyDescent="0.3">
      <c r="BJ55" s="167"/>
      <c r="BK55" s="167"/>
      <c r="BL55" s="167"/>
      <c r="BM55" s="167"/>
      <c r="BN55" s="167"/>
    </row>
    <row r="56" spans="62:66" ht="13.5" customHeight="1" x14ac:dyDescent="0.3">
      <c r="BJ56" s="167"/>
      <c r="BK56" s="167"/>
      <c r="BL56" s="167"/>
      <c r="BM56" s="167"/>
      <c r="BN56" s="167"/>
    </row>
    <row r="57" spans="62:66" ht="13.5" customHeight="1" x14ac:dyDescent="0.3">
      <c r="BJ57" s="167"/>
      <c r="BK57" s="167"/>
      <c r="BL57" s="167"/>
      <c r="BM57" s="167"/>
      <c r="BN57" s="167"/>
    </row>
    <row r="58" spans="62:66" ht="13.5" customHeight="1" x14ac:dyDescent="0.3">
      <c r="BJ58" s="167"/>
      <c r="BK58" s="167"/>
      <c r="BL58" s="167"/>
      <c r="BM58" s="167"/>
      <c r="BN58" s="167"/>
    </row>
    <row r="59" spans="62:66" ht="13.5" customHeight="1" x14ac:dyDescent="0.3">
      <c r="BJ59" s="167"/>
      <c r="BK59" s="167"/>
      <c r="BL59" s="167"/>
      <c r="BM59" s="167"/>
      <c r="BN59" s="167"/>
    </row>
    <row r="60" spans="62:66" ht="13.5" customHeight="1" x14ac:dyDescent="0.3">
      <c r="BJ60" s="167"/>
      <c r="BK60" s="167"/>
      <c r="BL60" s="167"/>
      <c r="BM60" s="167"/>
      <c r="BN60" s="167"/>
    </row>
    <row r="61" spans="62:66" ht="13.5" customHeight="1" x14ac:dyDescent="0.3">
      <c r="BJ61" s="167"/>
      <c r="BK61" s="167"/>
      <c r="BL61" s="167"/>
      <c r="BM61" s="167"/>
      <c r="BN61" s="167"/>
    </row>
    <row r="62" spans="62:66" ht="13.5" customHeight="1" x14ac:dyDescent="0.3">
      <c r="BJ62" s="167"/>
      <c r="BK62" s="167"/>
      <c r="BL62" s="167"/>
      <c r="BM62" s="167"/>
      <c r="BN62" s="167"/>
    </row>
    <row r="63" spans="62:66" ht="13.5" customHeight="1" x14ac:dyDescent="0.3">
      <c r="BJ63" s="167"/>
      <c r="BK63" s="167"/>
      <c r="BL63" s="167"/>
      <c r="BM63" s="167"/>
      <c r="BN63" s="167"/>
    </row>
    <row r="64" spans="62:66" ht="13.5" customHeight="1" x14ac:dyDescent="0.3">
      <c r="BJ64" s="167"/>
      <c r="BK64" s="167"/>
      <c r="BL64" s="167"/>
      <c r="BM64" s="167"/>
      <c r="BN64" s="167"/>
    </row>
    <row r="65" spans="62:66" ht="13.5" customHeight="1" x14ac:dyDescent="0.3">
      <c r="BJ65" s="167"/>
      <c r="BK65" s="167"/>
      <c r="BL65" s="167"/>
      <c r="BM65" s="167"/>
      <c r="BN65" s="167"/>
    </row>
    <row r="66" spans="62:66" ht="13.5" customHeight="1" x14ac:dyDescent="0.3">
      <c r="BJ66" s="167"/>
      <c r="BK66" s="167"/>
      <c r="BL66" s="167"/>
      <c r="BM66" s="167"/>
      <c r="BN66" s="167"/>
    </row>
    <row r="67" spans="62:66" ht="13.5" customHeight="1" x14ac:dyDescent="0.3">
      <c r="BJ67" s="167"/>
      <c r="BK67" s="167"/>
      <c r="BL67" s="167"/>
      <c r="BM67" s="167"/>
      <c r="BN67" s="167"/>
    </row>
    <row r="68" spans="62:66" ht="13.5" customHeight="1" x14ac:dyDescent="0.3">
      <c r="BJ68" s="167"/>
      <c r="BK68" s="167"/>
      <c r="BL68" s="167"/>
      <c r="BM68" s="167"/>
      <c r="BN68" s="167"/>
    </row>
    <row r="69" spans="62:66" ht="13.5" customHeight="1" x14ac:dyDescent="0.3">
      <c r="BJ69" s="167"/>
      <c r="BK69" s="167"/>
      <c r="BL69" s="167"/>
      <c r="BM69" s="167"/>
      <c r="BN69" s="167"/>
    </row>
    <row r="70" spans="62:66" ht="13.5" customHeight="1" x14ac:dyDescent="0.3">
      <c r="BJ70" s="167"/>
      <c r="BK70" s="167"/>
      <c r="BL70" s="167"/>
      <c r="BM70" s="167"/>
      <c r="BN70" s="167"/>
    </row>
    <row r="71" spans="62:66" ht="13.5" customHeight="1" x14ac:dyDescent="0.3">
      <c r="BJ71" s="167"/>
      <c r="BK71" s="167"/>
      <c r="BL71" s="167"/>
      <c r="BM71" s="167"/>
      <c r="BN71" s="167"/>
    </row>
    <row r="72" spans="62:66" ht="13.5" customHeight="1" x14ac:dyDescent="0.3">
      <c r="BJ72" s="167"/>
      <c r="BK72" s="167"/>
      <c r="BL72" s="167"/>
      <c r="BM72" s="167"/>
      <c r="BN72" s="167"/>
    </row>
    <row r="73" spans="62:66" ht="13.5" customHeight="1" x14ac:dyDescent="0.3">
      <c r="BJ73" s="167"/>
      <c r="BK73" s="167"/>
      <c r="BL73" s="167"/>
      <c r="BM73" s="167"/>
      <c r="BN73" s="167"/>
    </row>
    <row r="74" spans="62:66" ht="13.5" customHeight="1" x14ac:dyDescent="0.3">
      <c r="BJ74" s="167"/>
      <c r="BK74" s="167"/>
      <c r="BL74" s="167"/>
      <c r="BM74" s="167"/>
      <c r="BN74" s="167"/>
    </row>
    <row r="75" spans="62:66" ht="13.5" customHeight="1" x14ac:dyDescent="0.3">
      <c r="BJ75" s="167"/>
      <c r="BK75" s="167"/>
      <c r="BL75" s="167"/>
      <c r="BM75" s="167"/>
      <c r="BN75" s="167"/>
    </row>
    <row r="76" spans="62:66" ht="13.5" customHeight="1" x14ac:dyDescent="0.3">
      <c r="BJ76" s="167"/>
      <c r="BK76" s="167"/>
      <c r="BL76" s="167"/>
      <c r="BM76" s="167"/>
      <c r="BN76" s="167"/>
    </row>
    <row r="77" spans="62:66" ht="13.5" customHeight="1" x14ac:dyDescent="0.3">
      <c r="BJ77" s="167"/>
      <c r="BK77" s="167"/>
      <c r="BL77" s="167"/>
      <c r="BM77" s="167"/>
      <c r="BN77" s="167"/>
    </row>
    <row r="78" spans="62:66" ht="13.5" customHeight="1" x14ac:dyDescent="0.3">
      <c r="BJ78" s="167"/>
      <c r="BK78" s="167"/>
      <c r="BL78" s="167"/>
      <c r="BM78" s="167"/>
      <c r="BN78" s="167"/>
    </row>
    <row r="79" spans="62:66" ht="13.5" customHeight="1" x14ac:dyDescent="0.3">
      <c r="BJ79" s="167"/>
      <c r="BK79" s="167"/>
      <c r="BL79" s="167"/>
      <c r="BM79" s="167"/>
      <c r="BN79" s="167"/>
    </row>
    <row r="80" spans="62:66" ht="13.5" customHeight="1" x14ac:dyDescent="0.3">
      <c r="BJ80" s="167"/>
      <c r="BK80" s="167"/>
      <c r="BL80" s="167"/>
      <c r="BM80" s="167"/>
      <c r="BN80" s="167"/>
    </row>
    <row r="81" spans="62:66" ht="13.5" customHeight="1" x14ac:dyDescent="0.3">
      <c r="BJ81" s="167"/>
      <c r="BK81" s="167"/>
      <c r="BL81" s="167"/>
      <c r="BM81" s="167"/>
      <c r="BN81" s="167"/>
    </row>
    <row r="82" spans="62:66" ht="13.5" customHeight="1" x14ac:dyDescent="0.3">
      <c r="BJ82" s="167"/>
      <c r="BK82" s="167"/>
      <c r="BL82" s="167"/>
      <c r="BM82" s="167"/>
      <c r="BN82" s="167"/>
    </row>
    <row r="83" spans="62:66" ht="13.5" customHeight="1" x14ac:dyDescent="0.3">
      <c r="BJ83" s="167"/>
      <c r="BK83" s="167"/>
      <c r="BL83" s="167"/>
      <c r="BM83" s="167"/>
      <c r="BN83" s="167"/>
    </row>
    <row r="84" spans="62:66" ht="13.5" customHeight="1" x14ac:dyDescent="0.3">
      <c r="BJ84" s="167"/>
      <c r="BK84" s="167"/>
      <c r="BL84" s="167"/>
      <c r="BM84" s="167"/>
      <c r="BN84" s="167"/>
    </row>
    <row r="85" spans="62:66" ht="13.5" customHeight="1" x14ac:dyDescent="0.3">
      <c r="BJ85" s="167"/>
      <c r="BK85" s="167"/>
      <c r="BL85" s="167"/>
      <c r="BM85" s="167"/>
      <c r="BN85" s="167"/>
    </row>
    <row r="86" spans="62:66" ht="13.5" customHeight="1" x14ac:dyDescent="0.3">
      <c r="BJ86" s="167"/>
      <c r="BK86" s="167"/>
      <c r="BL86" s="167"/>
      <c r="BM86" s="167"/>
      <c r="BN86" s="167"/>
    </row>
    <row r="87" spans="62:66" ht="13.5" customHeight="1" x14ac:dyDescent="0.3">
      <c r="BJ87" s="167"/>
      <c r="BK87" s="167"/>
      <c r="BL87" s="167"/>
      <c r="BM87" s="167"/>
      <c r="BN87" s="167"/>
    </row>
    <row r="88" spans="62:66" ht="13.5" customHeight="1" x14ac:dyDescent="0.3">
      <c r="BJ88" s="167"/>
      <c r="BK88" s="167"/>
      <c r="BL88" s="167"/>
      <c r="BM88" s="167"/>
      <c r="BN88" s="167"/>
    </row>
    <row r="89" spans="62:66" ht="13.5" customHeight="1" x14ac:dyDescent="0.3">
      <c r="BJ89" s="167"/>
      <c r="BK89" s="167"/>
      <c r="BL89" s="167"/>
      <c r="BM89" s="167"/>
      <c r="BN89" s="167"/>
    </row>
    <row r="90" spans="62:66" ht="13.5" customHeight="1" x14ac:dyDescent="0.3">
      <c r="BJ90" s="167"/>
      <c r="BK90" s="167"/>
      <c r="BL90" s="167"/>
      <c r="BM90" s="167"/>
      <c r="BN90" s="167"/>
    </row>
    <row r="91" spans="62:66" ht="13.5" customHeight="1" x14ac:dyDescent="0.3">
      <c r="BJ91" s="167"/>
      <c r="BK91" s="167"/>
      <c r="BL91" s="167"/>
      <c r="BM91" s="167"/>
      <c r="BN91" s="167"/>
    </row>
    <row r="92" spans="62:66" ht="13.5" customHeight="1" x14ac:dyDescent="0.3">
      <c r="BJ92" s="167"/>
      <c r="BK92" s="167"/>
      <c r="BL92" s="167"/>
      <c r="BM92" s="167"/>
      <c r="BN92" s="167"/>
    </row>
    <row r="93" spans="62:66" ht="13.5" customHeight="1" x14ac:dyDescent="0.3">
      <c r="BJ93" s="167"/>
      <c r="BK93" s="167"/>
      <c r="BL93" s="167"/>
      <c r="BM93" s="167"/>
      <c r="BN93" s="167"/>
    </row>
    <row r="94" spans="62:66" ht="13.5" customHeight="1" x14ac:dyDescent="0.3">
      <c r="BJ94" s="167"/>
      <c r="BK94" s="167"/>
      <c r="BL94" s="167"/>
      <c r="BM94" s="167"/>
      <c r="BN94" s="167"/>
    </row>
    <row r="95" spans="62:66" ht="13.5" customHeight="1" x14ac:dyDescent="0.3">
      <c r="BJ95" s="167"/>
      <c r="BK95" s="167"/>
      <c r="BL95" s="167"/>
      <c r="BM95" s="167"/>
      <c r="BN95" s="167"/>
    </row>
    <row r="96" spans="62:66" ht="13.5" customHeight="1" x14ac:dyDescent="0.3">
      <c r="BJ96" s="167"/>
      <c r="BK96" s="167"/>
      <c r="BL96" s="167"/>
      <c r="BM96" s="167"/>
      <c r="BN96" s="167"/>
    </row>
    <row r="97" spans="62:66" ht="13.5" customHeight="1" x14ac:dyDescent="0.3">
      <c r="BJ97" s="167"/>
      <c r="BK97" s="167"/>
      <c r="BL97" s="167"/>
      <c r="BM97" s="167"/>
      <c r="BN97" s="167"/>
    </row>
    <row r="98" spans="62:66" ht="13.5" customHeight="1" x14ac:dyDescent="0.3">
      <c r="BJ98" s="167"/>
      <c r="BK98" s="167"/>
      <c r="BL98" s="167"/>
      <c r="BM98" s="167"/>
      <c r="BN98" s="167"/>
    </row>
    <row r="99" spans="62:66" ht="13.5" customHeight="1" x14ac:dyDescent="0.3">
      <c r="BJ99" s="167"/>
      <c r="BK99" s="167"/>
      <c r="BL99" s="167"/>
      <c r="BM99" s="167"/>
      <c r="BN99" s="167"/>
    </row>
    <row r="100" spans="62:66" ht="13.5" customHeight="1" x14ac:dyDescent="0.3">
      <c r="BJ100" s="167"/>
      <c r="BK100" s="167"/>
      <c r="BL100" s="167"/>
      <c r="BM100" s="167"/>
      <c r="BN100" s="167"/>
    </row>
    <row r="101" spans="62:66" ht="13.5" customHeight="1" x14ac:dyDescent="0.3">
      <c r="BJ101" s="167"/>
      <c r="BK101" s="167"/>
      <c r="BL101" s="167"/>
      <c r="BM101" s="167"/>
      <c r="BN101" s="167"/>
    </row>
    <row r="102" spans="62:66" ht="13.5" customHeight="1" x14ac:dyDescent="0.3">
      <c r="BJ102" s="167"/>
      <c r="BK102" s="167"/>
      <c r="BL102" s="167"/>
      <c r="BM102" s="167"/>
      <c r="BN102" s="167"/>
    </row>
    <row r="103" spans="62:66" ht="13.5" customHeight="1" x14ac:dyDescent="0.3">
      <c r="BJ103" s="167"/>
      <c r="BK103" s="167"/>
      <c r="BL103" s="167"/>
      <c r="BM103" s="167"/>
      <c r="BN103" s="167"/>
    </row>
    <row r="104" spans="62:66" ht="13.5" customHeight="1" x14ac:dyDescent="0.3">
      <c r="BJ104" s="167"/>
      <c r="BK104" s="167"/>
      <c r="BL104" s="167"/>
      <c r="BM104" s="167"/>
      <c r="BN104" s="167"/>
    </row>
    <row r="105" spans="62:66" ht="13.5" customHeight="1" x14ac:dyDescent="0.3">
      <c r="BJ105" s="167"/>
      <c r="BK105" s="167"/>
      <c r="BL105" s="167"/>
      <c r="BM105" s="167"/>
      <c r="BN105" s="167"/>
    </row>
    <row r="106" spans="62:66" ht="13.5" customHeight="1" x14ac:dyDescent="0.3">
      <c r="BJ106" s="167"/>
      <c r="BK106" s="167"/>
      <c r="BL106" s="167"/>
      <c r="BM106" s="167"/>
      <c r="BN106" s="167"/>
    </row>
    <row r="107" spans="62:66" ht="13.5" customHeight="1" x14ac:dyDescent="0.3">
      <c r="BJ107" s="167"/>
      <c r="BK107" s="167"/>
      <c r="BL107" s="167"/>
      <c r="BM107" s="167"/>
      <c r="BN107" s="167"/>
    </row>
    <row r="108" spans="62:66" ht="13.5" customHeight="1" x14ac:dyDescent="0.3">
      <c r="BJ108" s="167"/>
      <c r="BK108" s="167"/>
      <c r="BL108" s="167"/>
      <c r="BM108" s="167"/>
      <c r="BN108" s="167"/>
    </row>
    <row r="109" spans="62:66" ht="13.5" customHeight="1" x14ac:dyDescent="0.3">
      <c r="BJ109" s="167"/>
      <c r="BK109" s="167"/>
      <c r="BL109" s="167"/>
      <c r="BM109" s="167"/>
      <c r="BN109" s="167"/>
    </row>
    <row r="110" spans="62:66" ht="13.5" customHeight="1" x14ac:dyDescent="0.3">
      <c r="BJ110" s="167"/>
      <c r="BK110" s="167"/>
      <c r="BL110" s="167"/>
      <c r="BM110" s="167"/>
      <c r="BN110" s="167"/>
    </row>
    <row r="111" spans="62:66" ht="13.5" customHeight="1" x14ac:dyDescent="0.3">
      <c r="BJ111" s="167"/>
      <c r="BK111" s="167"/>
      <c r="BL111" s="167"/>
      <c r="BM111" s="167"/>
      <c r="BN111" s="167"/>
    </row>
    <row r="112" spans="62:66" ht="13.5" customHeight="1" x14ac:dyDescent="0.3">
      <c r="BJ112" s="167"/>
      <c r="BK112" s="167"/>
      <c r="BL112" s="167"/>
      <c r="BM112" s="167"/>
      <c r="BN112" s="167"/>
    </row>
    <row r="113" spans="62:66" ht="13.5" customHeight="1" x14ac:dyDescent="0.3">
      <c r="BJ113" s="167"/>
      <c r="BK113" s="167"/>
      <c r="BL113" s="167"/>
      <c r="BM113" s="167"/>
      <c r="BN113" s="167"/>
    </row>
    <row r="114" spans="62:66" ht="13.5" customHeight="1" x14ac:dyDescent="0.3">
      <c r="BJ114" s="167"/>
      <c r="BK114" s="167"/>
      <c r="BL114" s="167"/>
      <c r="BM114" s="167"/>
      <c r="BN114" s="167"/>
    </row>
    <row r="115" spans="62:66" ht="13.5" customHeight="1" x14ac:dyDescent="0.3">
      <c r="BJ115" s="167"/>
      <c r="BK115" s="167"/>
      <c r="BL115" s="167"/>
      <c r="BM115" s="167"/>
      <c r="BN115" s="167"/>
    </row>
    <row r="116" spans="62:66" ht="13.5" customHeight="1" x14ac:dyDescent="0.3">
      <c r="BJ116" s="167"/>
      <c r="BK116" s="167"/>
      <c r="BL116" s="167"/>
      <c r="BM116" s="167"/>
      <c r="BN116" s="167"/>
    </row>
    <row r="117" spans="62:66" ht="13.5" customHeight="1" x14ac:dyDescent="0.3">
      <c r="BJ117" s="167"/>
      <c r="BK117" s="167"/>
      <c r="BL117" s="167"/>
      <c r="BM117" s="167"/>
      <c r="BN117" s="167"/>
    </row>
    <row r="118" spans="62:66" ht="13.5" customHeight="1" x14ac:dyDescent="0.3">
      <c r="BJ118" s="167"/>
      <c r="BK118" s="167"/>
      <c r="BL118" s="167"/>
      <c r="BM118" s="167"/>
      <c r="BN118" s="167"/>
    </row>
    <row r="119" spans="62:66" ht="13.5" customHeight="1" x14ac:dyDescent="0.3">
      <c r="BJ119" s="167"/>
      <c r="BK119" s="167"/>
      <c r="BL119" s="167"/>
      <c r="BM119" s="167"/>
      <c r="BN119" s="167"/>
    </row>
    <row r="120" spans="62:66" ht="13.5" customHeight="1" x14ac:dyDescent="0.3">
      <c r="BJ120" s="167"/>
      <c r="BK120" s="167"/>
      <c r="BL120" s="167"/>
      <c r="BM120" s="167"/>
      <c r="BN120" s="167"/>
    </row>
    <row r="121" spans="62:66" ht="13.5" customHeight="1" x14ac:dyDescent="0.3">
      <c r="BJ121" s="167"/>
      <c r="BK121" s="167"/>
      <c r="BL121" s="167"/>
      <c r="BM121" s="167"/>
      <c r="BN121" s="167"/>
    </row>
    <row r="122" spans="62:66" ht="13.5" customHeight="1" x14ac:dyDescent="0.3">
      <c r="BJ122" s="167"/>
      <c r="BK122" s="167"/>
      <c r="BL122" s="167"/>
      <c r="BM122" s="167"/>
      <c r="BN122" s="167"/>
    </row>
    <row r="123" spans="62:66" ht="13.5" customHeight="1" x14ac:dyDescent="0.3">
      <c r="BJ123" s="167"/>
      <c r="BK123" s="167"/>
      <c r="BL123" s="167"/>
      <c r="BM123" s="167"/>
      <c r="BN123" s="167"/>
    </row>
    <row r="124" spans="62:66" ht="13.5" customHeight="1" x14ac:dyDescent="0.3">
      <c r="BJ124" s="167"/>
      <c r="BK124" s="167"/>
      <c r="BL124" s="167"/>
      <c r="BM124" s="167"/>
      <c r="BN124" s="167"/>
    </row>
    <row r="125" spans="62:66" ht="13.5" customHeight="1" x14ac:dyDescent="0.3">
      <c r="BJ125" s="167"/>
      <c r="BK125" s="167"/>
      <c r="BL125" s="167"/>
      <c r="BM125" s="167"/>
      <c r="BN125" s="167"/>
    </row>
    <row r="126" spans="62:66" ht="13.5" customHeight="1" x14ac:dyDescent="0.3">
      <c r="BJ126" s="167"/>
      <c r="BK126" s="167"/>
      <c r="BL126" s="167"/>
      <c r="BM126" s="167"/>
      <c r="BN126" s="167"/>
    </row>
    <row r="127" spans="62:66" ht="13.5" customHeight="1" x14ac:dyDescent="0.3">
      <c r="BJ127" s="167"/>
      <c r="BK127" s="167"/>
      <c r="BL127" s="167"/>
      <c r="BM127" s="167"/>
      <c r="BN127" s="167"/>
    </row>
    <row r="128" spans="62:66" ht="13.5" customHeight="1" x14ac:dyDescent="0.3">
      <c r="BJ128" s="167"/>
      <c r="BK128" s="167"/>
      <c r="BL128" s="167"/>
      <c r="BM128" s="167"/>
      <c r="BN128" s="167"/>
    </row>
    <row r="129" spans="62:66" ht="13.5" customHeight="1" x14ac:dyDescent="0.3">
      <c r="BJ129" s="167"/>
      <c r="BK129" s="167"/>
      <c r="BL129" s="167"/>
      <c r="BM129" s="167"/>
      <c r="BN129" s="167"/>
    </row>
    <row r="130" spans="62:66" ht="13.5" customHeight="1" x14ac:dyDescent="0.3">
      <c r="BJ130" s="167"/>
      <c r="BK130" s="167"/>
      <c r="BL130" s="167"/>
      <c r="BM130" s="167"/>
      <c r="BN130" s="167"/>
    </row>
    <row r="131" spans="62:66" ht="13.5" customHeight="1" x14ac:dyDescent="0.3">
      <c r="BJ131" s="167"/>
      <c r="BK131" s="167"/>
      <c r="BL131" s="167"/>
      <c r="BM131" s="167"/>
      <c r="BN131" s="167"/>
    </row>
    <row r="132" spans="62:66" ht="13.5" customHeight="1" x14ac:dyDescent="0.3">
      <c r="BJ132" s="167"/>
      <c r="BK132" s="167"/>
      <c r="BL132" s="167"/>
      <c r="BM132" s="167"/>
      <c r="BN132" s="167"/>
    </row>
    <row r="133" spans="62:66" ht="13.5" customHeight="1" x14ac:dyDescent="0.3">
      <c r="BJ133" s="167"/>
      <c r="BK133" s="167"/>
      <c r="BL133" s="167"/>
      <c r="BM133" s="167"/>
      <c r="BN133" s="167"/>
    </row>
    <row r="134" spans="62:66" ht="13.5" customHeight="1" x14ac:dyDescent="0.3">
      <c r="BJ134" s="167"/>
      <c r="BK134" s="167"/>
      <c r="BL134" s="167"/>
      <c r="BM134" s="167"/>
      <c r="BN134" s="167"/>
    </row>
    <row r="135" spans="62:66" ht="13.5" customHeight="1" x14ac:dyDescent="0.3">
      <c r="BJ135" s="167"/>
      <c r="BK135" s="167"/>
      <c r="BL135" s="167"/>
      <c r="BM135" s="167"/>
      <c r="BN135" s="167"/>
    </row>
    <row r="136" spans="62:66" ht="13.5" customHeight="1" x14ac:dyDescent="0.3">
      <c r="BJ136" s="167"/>
      <c r="BK136" s="167"/>
      <c r="BL136" s="167"/>
      <c r="BM136" s="167"/>
      <c r="BN136" s="167"/>
    </row>
    <row r="137" spans="62:66" ht="13.5" customHeight="1" x14ac:dyDescent="0.3">
      <c r="BJ137" s="167"/>
      <c r="BK137" s="167"/>
      <c r="BL137" s="167"/>
      <c r="BM137" s="167"/>
      <c r="BN137" s="167"/>
    </row>
    <row r="138" spans="62:66" ht="13.5" customHeight="1" x14ac:dyDescent="0.3">
      <c r="BJ138" s="167"/>
      <c r="BK138" s="167"/>
      <c r="BL138" s="167"/>
      <c r="BM138" s="167"/>
      <c r="BN138" s="167"/>
    </row>
    <row r="139" spans="62:66" ht="13.5" customHeight="1" x14ac:dyDescent="0.3">
      <c r="BJ139" s="167"/>
      <c r="BK139" s="167"/>
      <c r="BL139" s="167"/>
      <c r="BM139" s="167"/>
      <c r="BN139" s="167"/>
    </row>
    <row r="140" spans="62:66" ht="13.5" customHeight="1" x14ac:dyDescent="0.3">
      <c r="BJ140" s="167"/>
      <c r="BK140" s="167"/>
      <c r="BL140" s="167"/>
      <c r="BM140" s="167"/>
      <c r="BN140" s="167"/>
    </row>
    <row r="141" spans="62:66" ht="13.8" x14ac:dyDescent="0.3">
      <c r="BJ141" s="167"/>
      <c r="BK141" s="167"/>
      <c r="BL141" s="167"/>
      <c r="BM141" s="167"/>
      <c r="BN141" s="167"/>
    </row>
    <row r="142" spans="62:66" ht="13.8" x14ac:dyDescent="0.3">
      <c r="BJ142" s="167"/>
      <c r="BK142" s="167"/>
      <c r="BL142" s="167"/>
      <c r="BM142" s="167"/>
      <c r="BN142" s="167"/>
    </row>
    <row r="143" spans="62:66" ht="13.8" x14ac:dyDescent="0.3">
      <c r="BJ143" s="167"/>
      <c r="BK143" s="167"/>
      <c r="BL143" s="167"/>
      <c r="BM143" s="167"/>
      <c r="BN143" s="167"/>
    </row>
    <row r="144" spans="62:66" ht="13.5" customHeight="1" x14ac:dyDescent="0.3">
      <c r="BJ144" s="167"/>
      <c r="BK144" s="167"/>
      <c r="BL144" s="167"/>
      <c r="BM144" s="167"/>
      <c r="BN144" s="167"/>
    </row>
    <row r="145" spans="62:66" ht="13.5" customHeight="1" x14ac:dyDescent="0.3">
      <c r="BJ145" s="167"/>
      <c r="BK145" s="167"/>
      <c r="BL145" s="167"/>
      <c r="BM145" s="167"/>
      <c r="BN145" s="167"/>
    </row>
    <row r="146" spans="62:66" ht="13.5" customHeight="1" x14ac:dyDescent="0.3">
      <c r="BJ146" s="167"/>
      <c r="BK146" s="167"/>
      <c r="BL146" s="167"/>
      <c r="BM146" s="167"/>
      <c r="BN146" s="167"/>
    </row>
    <row r="147" spans="62:66" ht="13.5" customHeight="1" x14ac:dyDescent="0.3">
      <c r="BJ147" s="167"/>
      <c r="BK147" s="167"/>
      <c r="BL147" s="167"/>
      <c r="BM147" s="167"/>
      <c r="BN147" s="167"/>
    </row>
    <row r="148" spans="62:66" ht="13.5" customHeight="1" x14ac:dyDescent="0.3">
      <c r="BJ148" s="167"/>
      <c r="BK148" s="167"/>
      <c r="BL148" s="167"/>
      <c r="BM148" s="167"/>
      <c r="BN148" s="167"/>
    </row>
    <row r="149" spans="62:66" ht="13.5" customHeight="1" x14ac:dyDescent="0.3">
      <c r="BJ149" s="167"/>
      <c r="BK149" s="167"/>
      <c r="BL149" s="167"/>
      <c r="BM149" s="167"/>
      <c r="BN149" s="167"/>
    </row>
    <row r="150" spans="62:66" ht="13.5" customHeight="1" x14ac:dyDescent="0.3">
      <c r="BJ150" s="167"/>
      <c r="BK150" s="167"/>
      <c r="BL150" s="167"/>
      <c r="BM150" s="167"/>
      <c r="BN150" s="167"/>
    </row>
    <row r="151" spans="62:66" ht="13.5" customHeight="1" x14ac:dyDescent="0.3">
      <c r="BJ151" s="167"/>
      <c r="BK151" s="167"/>
      <c r="BL151" s="167"/>
      <c r="BM151" s="167"/>
      <c r="BN151" s="167"/>
    </row>
    <row r="152" spans="62:66" ht="13.5" customHeight="1" x14ac:dyDescent="0.3">
      <c r="BJ152" s="167"/>
      <c r="BK152" s="167"/>
      <c r="BL152" s="167"/>
      <c r="BM152" s="167"/>
      <c r="BN152" s="167"/>
    </row>
    <row r="153" spans="62:66" ht="13.5" customHeight="1" x14ac:dyDescent="0.3">
      <c r="BJ153" s="167"/>
      <c r="BK153" s="167"/>
      <c r="BL153" s="167"/>
      <c r="BM153" s="167"/>
      <c r="BN153" s="167"/>
    </row>
    <row r="154" spans="62:66" ht="13.5" customHeight="1" x14ac:dyDescent="0.3">
      <c r="BJ154" s="167"/>
      <c r="BK154" s="167"/>
      <c r="BL154" s="167"/>
      <c r="BM154" s="167"/>
      <c r="BN154" s="167"/>
    </row>
    <row r="155" spans="62:66" ht="13.5" customHeight="1" x14ac:dyDescent="0.3">
      <c r="BJ155" s="167"/>
      <c r="BK155" s="167"/>
      <c r="BL155" s="167"/>
      <c r="BM155" s="167"/>
      <c r="BN155" s="167"/>
    </row>
    <row r="156" spans="62:66" ht="13.5" customHeight="1" x14ac:dyDescent="0.3">
      <c r="BJ156" s="167"/>
      <c r="BK156" s="167"/>
      <c r="BL156" s="167"/>
      <c r="BM156" s="167"/>
      <c r="BN156" s="167"/>
    </row>
    <row r="157" spans="62:66" ht="13.5" customHeight="1" x14ac:dyDescent="0.3">
      <c r="BJ157" s="167"/>
      <c r="BK157" s="167"/>
      <c r="BL157" s="167"/>
      <c r="BM157" s="167"/>
      <c r="BN157" s="167"/>
    </row>
    <row r="158" spans="62:66" ht="13.5" customHeight="1" x14ac:dyDescent="0.3">
      <c r="BJ158" s="167"/>
      <c r="BK158" s="167"/>
      <c r="BL158" s="167"/>
      <c r="BM158" s="167"/>
      <c r="BN158" s="167"/>
    </row>
    <row r="159" spans="62:66" ht="13.5" customHeight="1" x14ac:dyDescent="0.3">
      <c r="BJ159" s="167"/>
      <c r="BK159" s="167"/>
      <c r="BL159" s="167"/>
      <c r="BM159" s="167"/>
      <c r="BN159" s="167"/>
    </row>
    <row r="160" spans="62:66" ht="13.5" customHeight="1" x14ac:dyDescent="0.3">
      <c r="BJ160" s="167"/>
      <c r="BK160" s="167"/>
      <c r="BL160" s="167"/>
      <c r="BM160" s="167"/>
      <c r="BN160" s="167"/>
    </row>
    <row r="161" spans="52:66" ht="13.5" customHeight="1" x14ac:dyDescent="0.3">
      <c r="BJ161" s="167"/>
      <c r="BK161" s="167"/>
      <c r="BL161" s="167"/>
      <c r="BM161" s="167"/>
      <c r="BN161" s="167"/>
    </row>
    <row r="162" spans="52:66" ht="13.5" customHeight="1" x14ac:dyDescent="0.3">
      <c r="BJ162" s="167"/>
      <c r="BK162" s="167"/>
      <c r="BL162" s="167"/>
      <c r="BM162" s="167"/>
      <c r="BN162" s="167"/>
    </row>
    <row r="163" spans="52:66" ht="13.5" customHeight="1" x14ac:dyDescent="0.3">
      <c r="BJ163" s="167"/>
      <c r="BK163" s="167"/>
      <c r="BL163" s="167"/>
      <c r="BM163" s="167"/>
      <c r="BN163" s="167"/>
    </row>
    <row r="164" spans="52:66" ht="13.5" customHeight="1" x14ac:dyDescent="0.3">
      <c r="BJ164" s="167"/>
      <c r="BK164" s="167"/>
      <c r="BL164" s="167"/>
      <c r="BM164" s="167"/>
      <c r="BN164" s="167"/>
    </row>
    <row r="165" spans="52:66" ht="13.5" customHeight="1" x14ac:dyDescent="0.3">
      <c r="BJ165" s="167"/>
      <c r="BK165" s="167"/>
      <c r="BL165" s="167"/>
      <c r="BM165" s="167"/>
      <c r="BN165" s="167"/>
    </row>
    <row r="166" spans="52:66" ht="13.5" customHeight="1" x14ac:dyDescent="0.3">
      <c r="BJ166" s="167"/>
      <c r="BK166" s="167"/>
      <c r="BL166" s="167"/>
      <c r="BM166" s="167"/>
      <c r="BN166" s="167"/>
    </row>
    <row r="167" spans="52:66" ht="13.5" customHeight="1" x14ac:dyDescent="0.3">
      <c r="BJ167" s="167"/>
      <c r="BK167" s="167"/>
      <c r="BL167" s="167"/>
      <c r="BM167" s="167"/>
      <c r="BN167" s="167"/>
    </row>
    <row r="168" spans="52:66" ht="13.5" customHeight="1" x14ac:dyDescent="0.3">
      <c r="BJ168" s="167"/>
      <c r="BK168" s="167"/>
      <c r="BL168" s="167"/>
      <c r="BM168" s="167"/>
      <c r="BN168" s="167"/>
    </row>
    <row r="169" spans="52:66" ht="13.5" customHeight="1" x14ac:dyDescent="0.3">
      <c r="AZ169" s="167" t="s">
        <v>1326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52" priority="10" operator="equal">
      <formula>0</formula>
    </cfRule>
  </conditionalFormatting>
  <conditionalFormatting sqref="J1:N1 I3:T3 C3:G4 U3:AD7 AC3:AD10 AQ3:AQ10 I4:O7 P4:T35 C6:G7 I9:N9 D10:N25">
    <cfRule type="cellIs" dxfId="51" priority="3" operator="equal">
      <formula>0</formula>
    </cfRule>
  </conditionalFormatting>
  <conditionalFormatting sqref="AG3:AG10">
    <cfRule type="cellIs" dxfId="50" priority="8" operator="equal">
      <formula>0</formula>
    </cfRule>
  </conditionalFormatting>
  <conditionalFormatting sqref="AJ3:AJ10">
    <cfRule type="cellIs" dxfId="49" priority="7" operator="equal">
      <formula>0</formula>
    </cfRule>
  </conditionalFormatting>
  <conditionalFormatting sqref="AS3">
    <cfRule type="cellIs" dxfId="48" priority="5" operator="equal">
      <formula>0</formula>
    </cfRule>
  </conditionalFormatting>
  <conditionalFormatting sqref="AV3">
    <cfRule type="cellIs" dxfId="47" priority="4" operator="equal">
      <formula>0</formula>
    </cfRule>
  </conditionalFormatting>
  <conditionalFormatting sqref="BD3:BH3 BD4:BE7 BG4:BH7 BF4:BF10">
    <cfRule type="cellIs" dxfId="46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E161" sqref="E161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252" t="s">
        <v>1327</v>
      </c>
      <c r="B1" s="252"/>
      <c r="E1" s="103" t="s">
        <v>1328</v>
      </c>
      <c r="F1" s="104" t="s">
        <v>1329</v>
      </c>
      <c r="G1" s="104" t="s">
        <v>1330</v>
      </c>
      <c r="H1" s="104" t="s">
        <v>392</v>
      </c>
      <c r="I1" s="104" t="s">
        <v>1331</v>
      </c>
      <c r="J1" s="104" t="s">
        <v>1332</v>
      </c>
    </row>
    <row r="2" spans="1:10" ht="15.6" x14ac:dyDescent="0.3">
      <c r="A2" s="89" t="s">
        <v>1333</v>
      </c>
      <c r="B2" s="89" t="s">
        <v>1334</v>
      </c>
      <c r="D2" s="1">
        <v>1</v>
      </c>
      <c r="E2" s="105" t="s">
        <v>1335</v>
      </c>
      <c r="F2" s="106" t="s">
        <v>1336</v>
      </c>
      <c r="G2" s="106" t="s">
        <v>1337</v>
      </c>
      <c r="H2" s="107">
        <v>45975</v>
      </c>
      <c r="I2" s="106" t="s">
        <v>1338</v>
      </c>
      <c r="J2" s="108" t="s">
        <v>292</v>
      </c>
    </row>
    <row r="3" spans="1:10" ht="15.6" x14ac:dyDescent="0.3">
      <c r="A3" s="89" t="s">
        <v>1339</v>
      </c>
      <c r="B3" s="89" t="s">
        <v>315</v>
      </c>
      <c r="D3" s="1">
        <v>2</v>
      </c>
      <c r="E3" s="109" t="s">
        <v>1335</v>
      </c>
      <c r="F3" s="109" t="s">
        <v>1340</v>
      </c>
      <c r="G3" s="109" t="s">
        <v>1341</v>
      </c>
      <c r="H3" s="76">
        <v>45978</v>
      </c>
      <c r="I3" s="77" t="s">
        <v>1342</v>
      </c>
      <c r="J3" s="110" t="s">
        <v>328</v>
      </c>
    </row>
    <row r="4" spans="1:10" ht="15.6" x14ac:dyDescent="0.3">
      <c r="A4" s="89" t="s">
        <v>1343</v>
      </c>
      <c r="B4" s="90">
        <v>1088000</v>
      </c>
      <c r="D4" s="1">
        <v>3</v>
      </c>
      <c r="E4" s="111" t="s">
        <v>1344</v>
      </c>
      <c r="F4" s="111" t="s">
        <v>1344</v>
      </c>
      <c r="G4" s="111" t="s">
        <v>1345</v>
      </c>
      <c r="H4" s="112" t="s">
        <v>1346</v>
      </c>
      <c r="I4" s="111" t="s">
        <v>1347</v>
      </c>
      <c r="J4" s="113" t="s">
        <v>321</v>
      </c>
    </row>
    <row r="5" spans="1:10" ht="15.6" x14ac:dyDescent="0.3">
      <c r="A5" s="88"/>
      <c r="B5" s="88"/>
      <c r="D5" s="1">
        <v>4</v>
      </c>
      <c r="E5" s="77" t="s">
        <v>1344</v>
      </c>
      <c r="F5" s="77" t="s">
        <v>1344</v>
      </c>
      <c r="G5" s="77" t="s">
        <v>1348</v>
      </c>
      <c r="H5" s="76">
        <v>45980</v>
      </c>
      <c r="I5" s="77" t="s">
        <v>1349</v>
      </c>
      <c r="J5" s="114" t="s">
        <v>369</v>
      </c>
    </row>
    <row r="6" spans="1:10" ht="15.6" x14ac:dyDescent="0.3">
      <c r="A6" s="89" t="s">
        <v>1333</v>
      </c>
      <c r="B6" s="89" t="s">
        <v>1350</v>
      </c>
      <c r="D6" s="1">
        <v>5</v>
      </c>
      <c r="E6" s="111" t="s">
        <v>1344</v>
      </c>
      <c r="F6" s="111" t="s">
        <v>1351</v>
      </c>
      <c r="G6" s="111" t="s">
        <v>1352</v>
      </c>
      <c r="H6" s="112" t="s">
        <v>1353</v>
      </c>
      <c r="I6" s="111" t="s">
        <v>1354</v>
      </c>
      <c r="J6" s="113" t="s">
        <v>1355</v>
      </c>
    </row>
    <row r="7" spans="1:10" ht="15.6" x14ac:dyDescent="0.3">
      <c r="A7" s="89" t="s">
        <v>1339</v>
      </c>
      <c r="B7" s="89" t="s">
        <v>314</v>
      </c>
      <c r="D7" s="1">
        <v>6</v>
      </c>
      <c r="E7" s="115" t="s">
        <v>1356</v>
      </c>
      <c r="F7" s="115" t="s">
        <v>1357</v>
      </c>
      <c r="G7" s="115" t="s">
        <v>1358</v>
      </c>
      <c r="H7" s="116">
        <v>45986</v>
      </c>
      <c r="I7" s="115" t="s">
        <v>1359</v>
      </c>
      <c r="J7" s="113" t="s">
        <v>374</v>
      </c>
    </row>
    <row r="8" spans="1:10" ht="15.6" x14ac:dyDescent="0.3">
      <c r="A8" s="89" t="s">
        <v>1343</v>
      </c>
      <c r="B8" s="90">
        <v>163000</v>
      </c>
      <c r="D8" s="1">
        <v>7</v>
      </c>
      <c r="E8" s="115" t="s">
        <v>1340</v>
      </c>
      <c r="F8" s="115" t="s">
        <v>1360</v>
      </c>
      <c r="G8" s="115" t="s">
        <v>1361</v>
      </c>
      <c r="H8" s="116">
        <v>45987</v>
      </c>
      <c r="I8" s="115" t="s">
        <v>1359</v>
      </c>
      <c r="J8" s="113" t="s">
        <v>378</v>
      </c>
    </row>
    <row r="9" spans="1:10" ht="15.6" x14ac:dyDescent="0.3">
      <c r="A9" s="88"/>
      <c r="B9" s="88"/>
      <c r="D9" s="1">
        <v>8</v>
      </c>
      <c r="E9" s="79" t="s">
        <v>1362</v>
      </c>
      <c r="F9" s="79" t="s">
        <v>1363</v>
      </c>
      <c r="G9" s="79" t="s">
        <v>1358</v>
      </c>
      <c r="H9" s="78">
        <v>45989</v>
      </c>
      <c r="I9" s="79" t="s">
        <v>1364</v>
      </c>
      <c r="J9" s="79"/>
    </row>
    <row r="10" spans="1:10" ht="15.6" x14ac:dyDescent="0.3">
      <c r="A10" s="89" t="s">
        <v>1333</v>
      </c>
      <c r="B10" s="89" t="s">
        <v>1365</v>
      </c>
      <c r="D10" s="1"/>
      <c r="E10" s="81" t="s">
        <v>1366</v>
      </c>
      <c r="F10" s="81" t="s">
        <v>1367</v>
      </c>
      <c r="G10" s="81" t="s">
        <v>1367</v>
      </c>
      <c r="H10" s="80" t="s">
        <v>1367</v>
      </c>
      <c r="I10" s="80" t="s">
        <v>1367</v>
      </c>
      <c r="J10" s="81"/>
    </row>
    <row r="11" spans="1:10" ht="15.6" x14ac:dyDescent="0.3">
      <c r="A11" s="89" t="s">
        <v>1339</v>
      </c>
      <c r="B11" s="89" t="s">
        <v>289</v>
      </c>
      <c r="D11" s="1"/>
      <c r="E11" s="79" t="s">
        <v>1362</v>
      </c>
      <c r="F11" s="79" t="s">
        <v>1367</v>
      </c>
      <c r="G11" s="79" t="s">
        <v>1367</v>
      </c>
      <c r="H11" s="78" t="s">
        <v>1367</v>
      </c>
      <c r="I11" s="78" t="s">
        <v>1367</v>
      </c>
      <c r="J11" s="79"/>
    </row>
    <row r="12" spans="1:10" ht="15.6" x14ac:dyDescent="0.3">
      <c r="A12" s="89" t="s">
        <v>1343</v>
      </c>
      <c r="B12" s="90">
        <v>262000</v>
      </c>
      <c r="D12" s="1"/>
      <c r="E12" s="117" t="s">
        <v>1366</v>
      </c>
      <c r="F12" s="81" t="s">
        <v>1367</v>
      </c>
      <c r="G12" s="81" t="s">
        <v>1367</v>
      </c>
      <c r="H12" s="80" t="s">
        <v>1367</v>
      </c>
      <c r="I12" s="81" t="s">
        <v>1364</v>
      </c>
      <c r="J12" s="81"/>
    </row>
    <row r="13" spans="1:10" ht="15.6" x14ac:dyDescent="0.3">
      <c r="A13" s="88"/>
      <c r="B13" s="88"/>
      <c r="E13" s="79" t="s">
        <v>1344</v>
      </c>
      <c r="F13" s="79" t="s">
        <v>1367</v>
      </c>
      <c r="G13" s="79" t="s">
        <v>1367</v>
      </c>
      <c r="H13" s="78" t="s">
        <v>1367</v>
      </c>
      <c r="I13" s="79" t="s">
        <v>1364</v>
      </c>
      <c r="J13" s="79"/>
    </row>
    <row r="14" spans="1:10" ht="15.6" x14ac:dyDescent="0.3">
      <c r="A14" s="89" t="s">
        <v>1333</v>
      </c>
      <c r="B14" s="89" t="s">
        <v>1365</v>
      </c>
    </row>
    <row r="15" spans="1:10" ht="15.6" x14ac:dyDescent="0.3">
      <c r="A15" s="89" t="s">
        <v>1339</v>
      </c>
      <c r="B15" s="89" t="s">
        <v>294</v>
      </c>
    </row>
    <row r="16" spans="1:10" ht="15.6" x14ac:dyDescent="0.3">
      <c r="A16" s="89" t="s">
        <v>1343</v>
      </c>
      <c r="B16" s="90">
        <v>191000</v>
      </c>
    </row>
    <row r="17" spans="1:8" ht="15.6" x14ac:dyDescent="0.3">
      <c r="A17" s="88"/>
      <c r="B17" s="88"/>
    </row>
    <row r="18" spans="1:8" ht="15.6" x14ac:dyDescent="0.3">
      <c r="A18" s="89" t="s">
        <v>1368</v>
      </c>
      <c r="B18" s="89" t="s">
        <v>205</v>
      </c>
      <c r="E18" s="118" t="s">
        <v>135</v>
      </c>
      <c r="F18" s="118" t="s">
        <v>396</v>
      </c>
      <c r="G18" s="119" t="s">
        <v>145</v>
      </c>
      <c r="H18" s="119" t="s">
        <v>1369</v>
      </c>
    </row>
    <row r="19" spans="1:8" ht="15.6" x14ac:dyDescent="0.3">
      <c r="A19" s="251" t="s">
        <v>1370</v>
      </c>
      <c r="B19" s="89" t="s">
        <v>1371</v>
      </c>
      <c r="E19" s="120" t="s">
        <v>289</v>
      </c>
      <c r="F19" s="73">
        <v>262000</v>
      </c>
      <c r="G19" s="75" t="s">
        <v>1372</v>
      </c>
      <c r="H19" s="75" t="s">
        <v>205</v>
      </c>
    </row>
    <row r="20" spans="1:8" ht="15.6" x14ac:dyDescent="0.3">
      <c r="A20" s="251"/>
      <c r="B20" s="87" t="s">
        <v>292</v>
      </c>
      <c r="E20" s="120" t="s">
        <v>294</v>
      </c>
      <c r="F20" s="73">
        <v>191000</v>
      </c>
      <c r="G20" s="75" t="s">
        <v>1373</v>
      </c>
      <c r="H20" s="75" t="s">
        <v>205</v>
      </c>
    </row>
    <row r="21" spans="1:8" ht="15.6" x14ac:dyDescent="0.3">
      <c r="A21" s="89" t="s">
        <v>1374</v>
      </c>
      <c r="B21" s="86" t="s">
        <v>1375</v>
      </c>
      <c r="E21" s="84" t="s">
        <v>325</v>
      </c>
      <c r="F21" s="121">
        <v>971000</v>
      </c>
      <c r="G21" s="122" t="s">
        <v>1376</v>
      </c>
      <c r="H21" s="122" t="s">
        <v>205</v>
      </c>
    </row>
    <row r="22" spans="1:8" ht="15.6" x14ac:dyDescent="0.3">
      <c r="A22" s="89" t="s">
        <v>1377</v>
      </c>
      <c r="B22" s="91">
        <v>45975</v>
      </c>
      <c r="E22" s="84" t="s">
        <v>329</v>
      </c>
      <c r="F22" s="121">
        <v>510000</v>
      </c>
      <c r="G22" s="122" t="s">
        <v>1376</v>
      </c>
      <c r="H22" s="122" t="s">
        <v>205</v>
      </c>
    </row>
    <row r="23" spans="1:8" ht="15.6" x14ac:dyDescent="0.3">
      <c r="A23" s="89" t="s">
        <v>1378</v>
      </c>
      <c r="B23" s="91">
        <v>45978</v>
      </c>
      <c r="E23" s="75" t="s">
        <v>1379</v>
      </c>
      <c r="F23" s="123">
        <v>160000</v>
      </c>
      <c r="G23" s="75" t="s">
        <v>1373</v>
      </c>
      <c r="H23" s="75" t="s">
        <v>1380</v>
      </c>
    </row>
    <row r="24" spans="1:8" ht="15.6" x14ac:dyDescent="0.3">
      <c r="A24" s="92"/>
      <c r="B24" s="92"/>
      <c r="E24" s="124" t="s">
        <v>367</v>
      </c>
      <c r="F24" s="125">
        <v>218000</v>
      </c>
      <c r="G24" s="124" t="s">
        <v>1372</v>
      </c>
      <c r="H24" s="75" t="s">
        <v>1380</v>
      </c>
    </row>
    <row r="25" spans="1:8" ht="15.6" x14ac:dyDescent="0.3">
      <c r="A25" s="252" t="s">
        <v>1381</v>
      </c>
      <c r="B25" s="252"/>
      <c r="E25" s="126" t="s">
        <v>323</v>
      </c>
      <c r="F25" s="83">
        <v>1090000</v>
      </c>
      <c r="G25" s="127" t="s">
        <v>1382</v>
      </c>
      <c r="H25" s="127" t="s">
        <v>412</v>
      </c>
    </row>
    <row r="26" spans="1:8" ht="15.6" x14ac:dyDescent="0.3">
      <c r="A26" s="89" t="s">
        <v>1333</v>
      </c>
      <c r="B26" s="89" t="s">
        <v>1365</v>
      </c>
      <c r="E26" s="128" t="s">
        <v>318</v>
      </c>
      <c r="F26" s="82">
        <v>163000</v>
      </c>
      <c r="G26" s="129" t="s">
        <v>1382</v>
      </c>
      <c r="H26" s="129" t="s">
        <v>412</v>
      </c>
    </row>
    <row r="27" spans="1:8" ht="15.6" x14ac:dyDescent="0.3">
      <c r="A27" s="89" t="s">
        <v>1339</v>
      </c>
      <c r="B27" s="89" t="s">
        <v>325</v>
      </c>
      <c r="E27" s="75" t="s">
        <v>366</v>
      </c>
      <c r="F27" s="123">
        <v>191000</v>
      </c>
      <c r="G27" s="75" t="s">
        <v>1373</v>
      </c>
      <c r="H27" s="75" t="s">
        <v>412</v>
      </c>
    </row>
    <row r="28" spans="1:8" ht="15.6" x14ac:dyDescent="0.3">
      <c r="A28" s="89" t="s">
        <v>1343</v>
      </c>
      <c r="B28" s="90">
        <v>970381.91</v>
      </c>
      <c r="E28" s="84" t="s">
        <v>359</v>
      </c>
      <c r="F28" s="121">
        <v>971000</v>
      </c>
      <c r="G28" s="122" t="s">
        <v>1383</v>
      </c>
      <c r="H28" s="122" t="s">
        <v>412</v>
      </c>
    </row>
    <row r="29" spans="1:8" ht="15.6" x14ac:dyDescent="0.3">
      <c r="A29" s="93"/>
      <c r="B29" s="93"/>
      <c r="E29" s="84" t="s">
        <v>355</v>
      </c>
      <c r="F29" s="121">
        <v>853000</v>
      </c>
      <c r="G29" s="122" t="s">
        <v>1383</v>
      </c>
      <c r="H29" s="122" t="s">
        <v>412</v>
      </c>
    </row>
    <row r="30" spans="1:8" ht="15.6" x14ac:dyDescent="0.3">
      <c r="A30" s="89" t="s">
        <v>1333</v>
      </c>
      <c r="B30" s="89" t="s">
        <v>1365</v>
      </c>
      <c r="E30" s="130" t="s">
        <v>1384</v>
      </c>
      <c r="F30" s="74" t="s">
        <v>1385</v>
      </c>
      <c r="G30" s="75"/>
      <c r="H30" s="75" t="s">
        <v>432</v>
      </c>
    </row>
    <row r="31" spans="1:8" ht="15.6" x14ac:dyDescent="0.3">
      <c r="A31" s="89" t="s">
        <v>1339</v>
      </c>
      <c r="B31" s="89" t="s">
        <v>329</v>
      </c>
      <c r="E31" s="131" t="s">
        <v>1386</v>
      </c>
      <c r="F31" s="85">
        <v>147000</v>
      </c>
      <c r="G31" s="129"/>
      <c r="H31" s="129" t="s">
        <v>432</v>
      </c>
    </row>
    <row r="32" spans="1:8" ht="15.6" x14ac:dyDescent="0.3">
      <c r="A32" s="89" t="s">
        <v>1343</v>
      </c>
      <c r="B32" s="90" t="s">
        <v>1387</v>
      </c>
      <c r="E32" s="132" t="s">
        <v>315</v>
      </c>
      <c r="F32" s="123">
        <v>1088000</v>
      </c>
      <c r="G32" s="75"/>
      <c r="H32" s="75" t="s">
        <v>153</v>
      </c>
    </row>
    <row r="33" spans="1:8" ht="15.6" x14ac:dyDescent="0.3">
      <c r="A33" s="93"/>
      <c r="B33" s="94"/>
      <c r="E33" s="132" t="s">
        <v>314</v>
      </c>
      <c r="F33" s="123">
        <v>163000</v>
      </c>
      <c r="G33" s="75"/>
      <c r="H33" s="75" t="s">
        <v>153</v>
      </c>
    </row>
    <row r="34" spans="1:8" ht="15.6" x14ac:dyDescent="0.3">
      <c r="A34" s="89" t="s">
        <v>1368</v>
      </c>
      <c r="B34" s="89" t="s">
        <v>205</v>
      </c>
    </row>
    <row r="35" spans="1:8" ht="15.6" x14ac:dyDescent="0.3">
      <c r="A35" s="251" t="s">
        <v>1370</v>
      </c>
      <c r="B35" s="89" t="s">
        <v>1388</v>
      </c>
    </row>
    <row r="36" spans="1:8" x14ac:dyDescent="0.3">
      <c r="A36" s="251"/>
      <c r="B36" s="87" t="s">
        <v>328</v>
      </c>
    </row>
    <row r="37" spans="1:8" ht="15.6" x14ac:dyDescent="0.3">
      <c r="A37" s="89" t="s">
        <v>1374</v>
      </c>
      <c r="B37" s="86" t="s">
        <v>1389</v>
      </c>
    </row>
    <row r="38" spans="1:8" ht="15.6" x14ac:dyDescent="0.3">
      <c r="A38" s="89" t="s">
        <v>1377</v>
      </c>
      <c r="B38" s="91">
        <v>45978</v>
      </c>
    </row>
    <row r="39" spans="1:8" ht="15.6" x14ac:dyDescent="0.3">
      <c r="A39" s="89" t="s">
        <v>1378</v>
      </c>
      <c r="B39" s="91">
        <v>45985</v>
      </c>
    </row>
    <row r="40" spans="1:8" ht="15.6" x14ac:dyDescent="0.3">
      <c r="A40" s="92"/>
      <c r="B40" s="92"/>
    </row>
    <row r="41" spans="1:8" ht="15.6" x14ac:dyDescent="0.3">
      <c r="A41" s="252" t="s">
        <v>1390</v>
      </c>
      <c r="B41" s="252"/>
    </row>
    <row r="42" spans="1:8" ht="15.6" x14ac:dyDescent="0.3">
      <c r="A42" s="89" t="s">
        <v>1333</v>
      </c>
      <c r="B42" s="89" t="s">
        <v>1334</v>
      </c>
    </row>
    <row r="43" spans="1:8" ht="15.6" x14ac:dyDescent="0.3">
      <c r="A43" s="89" t="s">
        <v>1339</v>
      </c>
      <c r="B43" s="89" t="s">
        <v>1391</v>
      </c>
    </row>
    <row r="44" spans="1:8" ht="15.6" x14ac:dyDescent="0.3">
      <c r="A44" s="89" t="s">
        <v>1343</v>
      </c>
      <c r="B44" s="83">
        <v>1090000</v>
      </c>
    </row>
    <row r="45" spans="1:8" ht="15.6" x14ac:dyDescent="0.3">
      <c r="A45" s="93"/>
      <c r="B45" s="88"/>
    </row>
    <row r="46" spans="1:8" ht="15.6" x14ac:dyDescent="0.3">
      <c r="A46" s="95" t="s">
        <v>1333</v>
      </c>
      <c r="B46" s="89" t="s">
        <v>1350</v>
      </c>
    </row>
    <row r="47" spans="1:8" ht="15.6" x14ac:dyDescent="0.3">
      <c r="A47" s="95" t="s">
        <v>1339</v>
      </c>
      <c r="B47" s="89" t="s">
        <v>318</v>
      </c>
    </row>
    <row r="48" spans="1:8" ht="15.6" x14ac:dyDescent="0.3">
      <c r="A48" s="95" t="s">
        <v>1343</v>
      </c>
      <c r="B48" s="73">
        <v>163000</v>
      </c>
    </row>
    <row r="49" spans="1:2" ht="15.6" x14ac:dyDescent="0.3">
      <c r="A49" s="93"/>
      <c r="B49" s="94"/>
    </row>
    <row r="50" spans="1:2" ht="15.6" x14ac:dyDescent="0.3">
      <c r="A50" s="89" t="s">
        <v>1368</v>
      </c>
      <c r="B50" s="89" t="s">
        <v>193</v>
      </c>
    </row>
    <row r="51" spans="1:2" ht="15.6" x14ac:dyDescent="0.3">
      <c r="A51" s="251" t="s">
        <v>1370</v>
      </c>
      <c r="B51" s="89" t="s">
        <v>1392</v>
      </c>
    </row>
    <row r="52" spans="1:2" x14ac:dyDescent="0.3">
      <c r="A52" s="251"/>
      <c r="B52" s="87" t="s">
        <v>321</v>
      </c>
    </row>
    <row r="53" spans="1:2" ht="15.6" x14ac:dyDescent="0.3">
      <c r="A53" s="89" t="s">
        <v>1374</v>
      </c>
      <c r="B53" s="86" t="s">
        <v>1393</v>
      </c>
    </row>
    <row r="54" spans="1:2" ht="15.6" x14ac:dyDescent="0.3">
      <c r="A54" s="89" t="s">
        <v>1377</v>
      </c>
      <c r="B54" s="91">
        <v>45978</v>
      </c>
    </row>
    <row r="55" spans="1:2" ht="15.6" x14ac:dyDescent="0.3">
      <c r="A55" s="89" t="s">
        <v>1378</v>
      </c>
      <c r="B55" s="91">
        <v>45981</v>
      </c>
    </row>
    <row r="56" spans="1:2" ht="15.6" x14ac:dyDescent="0.3">
      <c r="A56" s="92"/>
      <c r="B56" s="92"/>
    </row>
    <row r="57" spans="1:2" ht="15.6" x14ac:dyDescent="0.3">
      <c r="A57" s="252" t="s">
        <v>1394</v>
      </c>
      <c r="B57" s="252"/>
    </row>
    <row r="58" spans="1:2" ht="15.6" x14ac:dyDescent="0.3">
      <c r="A58" s="89" t="s">
        <v>1333</v>
      </c>
      <c r="B58" s="89" t="s">
        <v>1365</v>
      </c>
    </row>
    <row r="59" spans="1:2" ht="15.6" x14ac:dyDescent="0.3">
      <c r="A59" s="89" t="s">
        <v>1339</v>
      </c>
      <c r="B59" s="89" t="s">
        <v>359</v>
      </c>
    </row>
    <row r="60" spans="1:2" ht="15.6" x14ac:dyDescent="0.3">
      <c r="A60" s="89" t="s">
        <v>1343</v>
      </c>
      <c r="B60" s="90">
        <v>971000</v>
      </c>
    </row>
    <row r="61" spans="1:2" ht="15.6" x14ac:dyDescent="0.3">
      <c r="A61" s="93"/>
      <c r="B61" s="93"/>
    </row>
    <row r="62" spans="1:2" ht="15.6" x14ac:dyDescent="0.3">
      <c r="A62" s="89" t="s">
        <v>1333</v>
      </c>
      <c r="B62" s="89" t="s">
        <v>1365</v>
      </c>
    </row>
    <row r="63" spans="1:2" ht="15.6" x14ac:dyDescent="0.3">
      <c r="A63" s="89" t="s">
        <v>1339</v>
      </c>
      <c r="B63" s="89" t="s">
        <v>355</v>
      </c>
    </row>
    <row r="64" spans="1:2" ht="15.6" x14ac:dyDescent="0.3">
      <c r="A64" s="89" t="s">
        <v>1343</v>
      </c>
      <c r="B64" s="90">
        <v>853000</v>
      </c>
    </row>
    <row r="65" spans="1:2" ht="15.6" x14ac:dyDescent="0.3">
      <c r="A65" s="93"/>
      <c r="B65" s="94"/>
    </row>
    <row r="66" spans="1:2" ht="15.6" x14ac:dyDescent="0.3">
      <c r="A66" s="89" t="s">
        <v>1368</v>
      </c>
      <c r="B66" s="89" t="s">
        <v>193</v>
      </c>
    </row>
    <row r="67" spans="1:2" ht="15.6" x14ac:dyDescent="0.3">
      <c r="A67" s="251" t="s">
        <v>1370</v>
      </c>
      <c r="B67" s="89" t="s">
        <v>1395</v>
      </c>
    </row>
    <row r="68" spans="1:2" x14ac:dyDescent="0.3">
      <c r="A68" s="251"/>
      <c r="B68" s="96" t="s">
        <v>369</v>
      </c>
    </row>
    <row r="69" spans="1:2" ht="15.6" x14ac:dyDescent="0.3">
      <c r="A69" s="89" t="s">
        <v>1374</v>
      </c>
      <c r="B69" s="86" t="s">
        <v>1396</v>
      </c>
    </row>
    <row r="70" spans="1:2" ht="15.6" x14ac:dyDescent="0.3">
      <c r="A70" s="89" t="s">
        <v>1377</v>
      </c>
      <c r="B70" s="91">
        <v>45980</v>
      </c>
    </row>
    <row r="71" spans="1:2" ht="15.6" x14ac:dyDescent="0.3">
      <c r="A71" s="89" t="s">
        <v>1378</v>
      </c>
      <c r="B71" s="91">
        <v>45985</v>
      </c>
    </row>
    <row r="72" spans="1:2" ht="15.6" x14ac:dyDescent="0.3">
      <c r="A72" s="92"/>
      <c r="B72" s="92"/>
    </row>
    <row r="73" spans="1:2" ht="15.6" x14ac:dyDescent="0.3">
      <c r="A73" s="252" t="s">
        <v>1397</v>
      </c>
      <c r="B73" s="252"/>
    </row>
    <row r="74" spans="1:2" ht="15.6" x14ac:dyDescent="0.3">
      <c r="A74" s="89" t="s">
        <v>1333</v>
      </c>
      <c r="B74" s="89" t="s">
        <v>1365</v>
      </c>
    </row>
    <row r="75" spans="1:2" ht="15.6" x14ac:dyDescent="0.3">
      <c r="A75" s="89" t="s">
        <v>1339</v>
      </c>
      <c r="B75" s="89" t="s">
        <v>367</v>
      </c>
    </row>
    <row r="76" spans="1:2" ht="15.6" x14ac:dyDescent="0.3">
      <c r="A76" s="89" t="s">
        <v>1343</v>
      </c>
      <c r="B76" s="90">
        <v>218000</v>
      </c>
    </row>
    <row r="77" spans="1:2" ht="15.6" x14ac:dyDescent="0.3">
      <c r="A77" s="88"/>
      <c r="B77" s="88"/>
    </row>
    <row r="78" spans="1:2" ht="15.6" x14ac:dyDescent="0.3">
      <c r="A78" s="89" t="s">
        <v>1333</v>
      </c>
      <c r="B78" s="89" t="s">
        <v>1365</v>
      </c>
    </row>
    <row r="79" spans="1:2" ht="15.6" x14ac:dyDescent="0.3">
      <c r="A79" s="89" t="s">
        <v>1339</v>
      </c>
      <c r="B79" s="89" t="s">
        <v>366</v>
      </c>
    </row>
    <row r="80" spans="1:2" ht="15.6" x14ac:dyDescent="0.3">
      <c r="A80" s="89" t="s">
        <v>1343</v>
      </c>
      <c r="B80" s="90">
        <v>191000</v>
      </c>
    </row>
    <row r="81" spans="1:2" ht="15.6" x14ac:dyDescent="0.3">
      <c r="A81" s="93"/>
      <c r="B81" s="93"/>
    </row>
    <row r="82" spans="1:2" ht="15.6" x14ac:dyDescent="0.3">
      <c r="A82" s="89" t="s">
        <v>1333</v>
      </c>
      <c r="B82" s="89" t="s">
        <v>1365</v>
      </c>
    </row>
    <row r="83" spans="1:2" ht="15.6" x14ac:dyDescent="0.3">
      <c r="A83" s="89" t="s">
        <v>1339</v>
      </c>
      <c r="B83" s="89" t="s">
        <v>1379</v>
      </c>
    </row>
    <row r="84" spans="1:2" ht="15.6" x14ac:dyDescent="0.3">
      <c r="A84" s="89" t="s">
        <v>1343</v>
      </c>
      <c r="B84" s="90">
        <v>160000</v>
      </c>
    </row>
    <row r="85" spans="1:2" ht="15.6" x14ac:dyDescent="0.3">
      <c r="A85" s="93"/>
      <c r="B85" s="94"/>
    </row>
    <row r="86" spans="1:2" ht="15.6" x14ac:dyDescent="0.3">
      <c r="A86" s="89" t="s">
        <v>1368</v>
      </c>
      <c r="B86" s="89" t="s">
        <v>193</v>
      </c>
    </row>
    <row r="87" spans="1:2" ht="15.6" x14ac:dyDescent="0.3">
      <c r="A87" s="251" t="s">
        <v>1370</v>
      </c>
      <c r="B87" s="89" t="s">
        <v>1398</v>
      </c>
    </row>
    <row r="88" spans="1:2" x14ac:dyDescent="0.3">
      <c r="A88" s="251"/>
      <c r="B88" s="96" t="s">
        <v>364</v>
      </c>
    </row>
    <row r="89" spans="1:2" ht="15.6" x14ac:dyDescent="0.3">
      <c r="A89" s="89" t="s">
        <v>1374</v>
      </c>
      <c r="B89" s="86" t="s">
        <v>1399</v>
      </c>
    </row>
    <row r="90" spans="1:2" ht="15.6" x14ac:dyDescent="0.3">
      <c r="A90" s="89" t="s">
        <v>1377</v>
      </c>
      <c r="B90" s="91">
        <v>45985</v>
      </c>
    </row>
    <row r="91" spans="1:2" ht="15.6" x14ac:dyDescent="0.3">
      <c r="A91" s="89" t="s">
        <v>1378</v>
      </c>
      <c r="B91" s="91">
        <v>45987</v>
      </c>
    </row>
    <row r="92" spans="1:2" ht="15.6" x14ac:dyDescent="0.3">
      <c r="A92" s="92"/>
      <c r="B92" s="92"/>
    </row>
    <row r="93" spans="1:2" ht="15.6" x14ac:dyDescent="0.3">
      <c r="A93" s="252" t="s">
        <v>1400</v>
      </c>
      <c r="B93" s="252"/>
    </row>
    <row r="94" spans="1:2" ht="15.6" x14ac:dyDescent="0.3">
      <c r="A94" s="89" t="s">
        <v>1333</v>
      </c>
      <c r="B94" s="89" t="s">
        <v>1334</v>
      </c>
    </row>
    <row r="95" spans="1:2" ht="15.6" x14ac:dyDescent="0.3">
      <c r="A95" s="89" t="s">
        <v>1339</v>
      </c>
      <c r="B95" s="89" t="s">
        <v>323</v>
      </c>
    </row>
    <row r="96" spans="1:2" ht="15.6" x14ac:dyDescent="0.3">
      <c r="A96" s="89" t="s">
        <v>1343</v>
      </c>
      <c r="B96" s="90">
        <v>1090000</v>
      </c>
    </row>
    <row r="97" spans="1:2" ht="15.6" x14ac:dyDescent="0.3">
      <c r="A97" s="88"/>
      <c r="B97" s="88"/>
    </row>
    <row r="98" spans="1:2" ht="15.6" x14ac:dyDescent="0.3">
      <c r="A98" s="89" t="s">
        <v>1333</v>
      </c>
      <c r="B98" s="89" t="s">
        <v>1350</v>
      </c>
    </row>
    <row r="99" spans="1:2" ht="15.6" x14ac:dyDescent="0.3">
      <c r="A99" s="89" t="s">
        <v>1339</v>
      </c>
      <c r="B99" s="89" t="s">
        <v>318</v>
      </c>
    </row>
    <row r="100" spans="1:2" ht="15.6" x14ac:dyDescent="0.3">
      <c r="A100" s="89" t="s">
        <v>1343</v>
      </c>
      <c r="B100" s="90">
        <v>163000</v>
      </c>
    </row>
    <row r="101" spans="1:2" ht="15.6" x14ac:dyDescent="0.3">
      <c r="A101" s="88"/>
      <c r="B101" s="88"/>
    </row>
    <row r="102" spans="1:2" ht="15.6" x14ac:dyDescent="0.3">
      <c r="A102" s="89" t="s">
        <v>1333</v>
      </c>
      <c r="B102" s="89" t="s">
        <v>1365</v>
      </c>
    </row>
    <row r="103" spans="1:2" ht="15.6" x14ac:dyDescent="0.3">
      <c r="A103" s="89" t="s">
        <v>1339</v>
      </c>
      <c r="B103" s="89" t="s">
        <v>289</v>
      </c>
    </row>
    <row r="104" spans="1:2" ht="15.6" x14ac:dyDescent="0.3">
      <c r="A104" s="89" t="s">
        <v>1343</v>
      </c>
      <c r="B104" s="90">
        <v>262000</v>
      </c>
    </row>
    <row r="105" spans="1:2" ht="15.6" x14ac:dyDescent="0.3">
      <c r="A105" s="88"/>
      <c r="B105" s="88"/>
    </row>
    <row r="106" spans="1:2" ht="15.6" x14ac:dyDescent="0.3">
      <c r="A106" s="89" t="s">
        <v>1333</v>
      </c>
      <c r="B106" s="89" t="s">
        <v>1365</v>
      </c>
    </row>
    <row r="107" spans="1:2" ht="15.6" x14ac:dyDescent="0.3">
      <c r="A107" s="89" t="s">
        <v>1339</v>
      </c>
      <c r="B107" s="89" t="s">
        <v>294</v>
      </c>
    </row>
    <row r="108" spans="1:2" ht="15.6" x14ac:dyDescent="0.3">
      <c r="A108" s="89" t="s">
        <v>1343</v>
      </c>
      <c r="B108" s="90">
        <v>191000</v>
      </c>
    </row>
    <row r="109" spans="1:2" ht="15.6" x14ac:dyDescent="0.3">
      <c r="A109" s="88"/>
      <c r="B109" s="88"/>
    </row>
    <row r="110" spans="1:2" ht="15.6" x14ac:dyDescent="0.3">
      <c r="A110" s="89" t="s">
        <v>1368</v>
      </c>
      <c r="B110" s="89" t="s">
        <v>193</v>
      </c>
    </row>
    <row r="111" spans="1:2" x14ac:dyDescent="0.3">
      <c r="A111" s="251" t="s">
        <v>1370</v>
      </c>
      <c r="B111" s="86" t="s">
        <v>1401</v>
      </c>
    </row>
    <row r="112" spans="1:2" x14ac:dyDescent="0.3">
      <c r="A112" s="251"/>
      <c r="B112" s="96" t="s">
        <v>1402</v>
      </c>
    </row>
    <row r="113" spans="1:2" ht="15.6" x14ac:dyDescent="0.3">
      <c r="A113" s="89" t="s">
        <v>1374</v>
      </c>
      <c r="B113" s="89" t="s">
        <v>375</v>
      </c>
    </row>
    <row r="114" spans="1:2" ht="15.6" x14ac:dyDescent="0.3">
      <c r="A114" s="89" t="s">
        <v>1377</v>
      </c>
      <c r="B114" s="91">
        <v>45985</v>
      </c>
    </row>
    <row r="115" spans="1:2" ht="15.6" x14ac:dyDescent="0.3">
      <c r="A115" s="89" t="s">
        <v>1378</v>
      </c>
      <c r="B115" s="91">
        <v>45986</v>
      </c>
    </row>
    <row r="116" spans="1:2" ht="15.6" x14ac:dyDescent="0.3">
      <c r="A116" s="92"/>
      <c r="B116" s="92"/>
    </row>
    <row r="117" spans="1:2" ht="15.6" x14ac:dyDescent="0.3">
      <c r="A117" s="252" t="s">
        <v>1403</v>
      </c>
      <c r="B117" s="252"/>
    </row>
    <row r="118" spans="1:2" ht="15.6" x14ac:dyDescent="0.3">
      <c r="A118" s="89" t="s">
        <v>1333</v>
      </c>
      <c r="B118" s="89" t="s">
        <v>1334</v>
      </c>
    </row>
    <row r="119" spans="1:2" ht="15.6" x14ac:dyDescent="0.3">
      <c r="A119" s="89" t="s">
        <v>1339</v>
      </c>
      <c r="B119" s="89" t="s">
        <v>323</v>
      </c>
    </row>
    <row r="120" spans="1:2" ht="15.6" x14ac:dyDescent="0.3">
      <c r="A120" s="89" t="s">
        <v>1343</v>
      </c>
      <c r="B120" s="90">
        <v>1090000</v>
      </c>
    </row>
    <row r="121" spans="1:2" ht="15.6" x14ac:dyDescent="0.3">
      <c r="A121" s="88"/>
      <c r="B121" s="88"/>
    </row>
    <row r="122" spans="1:2" ht="15.6" x14ac:dyDescent="0.3">
      <c r="A122" s="89" t="s">
        <v>1333</v>
      </c>
      <c r="B122" s="89" t="s">
        <v>1350</v>
      </c>
    </row>
    <row r="123" spans="1:2" ht="15.6" x14ac:dyDescent="0.3">
      <c r="A123" s="89" t="s">
        <v>1339</v>
      </c>
      <c r="B123" s="89" t="s">
        <v>318</v>
      </c>
    </row>
    <row r="124" spans="1:2" ht="15.6" x14ac:dyDescent="0.3">
      <c r="A124" s="89" t="s">
        <v>1343</v>
      </c>
      <c r="B124" s="90">
        <v>163000</v>
      </c>
    </row>
    <row r="125" spans="1:2" ht="15.6" x14ac:dyDescent="0.3">
      <c r="A125" s="88"/>
      <c r="B125" s="88"/>
    </row>
    <row r="126" spans="1:2" ht="15.6" x14ac:dyDescent="0.3">
      <c r="A126" s="89" t="s">
        <v>1333</v>
      </c>
      <c r="B126" s="89" t="s">
        <v>1365</v>
      </c>
    </row>
    <row r="127" spans="1:2" ht="15.6" x14ac:dyDescent="0.3">
      <c r="A127" s="89" t="s">
        <v>1339</v>
      </c>
      <c r="B127" s="89" t="s">
        <v>289</v>
      </c>
    </row>
    <row r="128" spans="1:2" ht="15.6" x14ac:dyDescent="0.3">
      <c r="A128" s="89" t="s">
        <v>1343</v>
      </c>
      <c r="B128" s="90">
        <v>262000</v>
      </c>
    </row>
    <row r="129" spans="1:2" ht="15.6" x14ac:dyDescent="0.3">
      <c r="A129" s="88"/>
      <c r="B129" s="88"/>
    </row>
    <row r="130" spans="1:2" ht="15.6" x14ac:dyDescent="0.3">
      <c r="A130" s="89" t="s">
        <v>1333</v>
      </c>
      <c r="B130" s="89" t="s">
        <v>1365</v>
      </c>
    </row>
    <row r="131" spans="1:2" ht="15.6" x14ac:dyDescent="0.3">
      <c r="A131" s="89" t="s">
        <v>1339</v>
      </c>
      <c r="B131" s="89" t="s">
        <v>294</v>
      </c>
    </row>
    <row r="132" spans="1:2" ht="15.6" x14ac:dyDescent="0.3">
      <c r="A132" s="89" t="s">
        <v>1343</v>
      </c>
      <c r="B132" s="90">
        <v>191000</v>
      </c>
    </row>
    <row r="133" spans="1:2" ht="15.6" x14ac:dyDescent="0.3">
      <c r="A133" s="88"/>
      <c r="B133" s="88"/>
    </row>
    <row r="134" spans="1:2" ht="15.6" x14ac:dyDescent="0.3">
      <c r="A134" s="89" t="s">
        <v>1368</v>
      </c>
      <c r="B134" s="89" t="s">
        <v>193</v>
      </c>
    </row>
    <row r="135" spans="1:2" x14ac:dyDescent="0.3">
      <c r="A135" s="251" t="s">
        <v>1370</v>
      </c>
      <c r="B135" s="86" t="s">
        <v>1404</v>
      </c>
    </row>
    <row r="136" spans="1:2" x14ac:dyDescent="0.3">
      <c r="A136" s="251"/>
      <c r="B136" s="87" t="s">
        <v>378</v>
      </c>
    </row>
    <row r="137" spans="1:2" ht="15.6" x14ac:dyDescent="0.3">
      <c r="A137" s="89" t="s">
        <v>1374</v>
      </c>
      <c r="B137" s="89" t="s">
        <v>1405</v>
      </c>
    </row>
    <row r="138" spans="1:2" ht="15.6" x14ac:dyDescent="0.3">
      <c r="A138" s="89" t="s">
        <v>1377</v>
      </c>
      <c r="B138" s="91">
        <v>45987</v>
      </c>
    </row>
    <row r="139" spans="1:2" ht="15.6" x14ac:dyDescent="0.3">
      <c r="A139" s="89" t="s">
        <v>1378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41">
      <formula>#REF!="RECEBIDO (D)"</formula>
    </cfRule>
    <cfRule type="expression" dxfId="21" priority="36">
      <formula>MID(TRIM(#REF!), LEN(TRIM(#REF!))-2, 3)="(D)"</formula>
    </cfRule>
    <cfRule type="expression" dxfId="20" priority="37">
      <formula>AND(INT(#REF!)=TODAY()+1, COUNTIF(#REF!,"CONCLUIDO*")+COUNTIF(#REF!,"CONCLUÍDO*")=0)</formula>
    </cfRule>
    <cfRule type="expression" dxfId="19" priority="38">
      <formula>AND(INT(#REF!)=TODAY(), COUNTIF(#REF!,"CONCLUIDO*")+COUNTIF(#REF!,"CONCLUÍDO*")=0)</formula>
    </cfRule>
    <cfRule type="expression" dxfId="18" priority="39">
      <formula>#REF!="RECEBIDO"</formula>
    </cfRule>
    <cfRule type="expression" dxfId="17" priority="40">
      <formula>#REF!="EM ROTA"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5">
      <formula>MID(TRIM(#REF!), LEN(TRIM(#REF!))-2, 3)="(D)"</formula>
    </cfRule>
    <cfRule type="expression" dxfId="9" priority="26">
      <formula>AND(INT(#REF!)=TODAY()+1, COUNTIF(#REF!,"CONCLUIDO*")+COUNTIF(#REF!,"CONCLUÍDO*")=0)</formula>
    </cfRule>
    <cfRule type="expression" dxfId="8" priority="27">
      <formula>AND(INT(#REF!)=TODAY(), COUNTIF(#REF!,"CONCLUIDO*")+COUNTIF(#REF!,"CONCLUÍDO*")=0)</formula>
    </cfRule>
    <cfRule type="expression" dxfId="7" priority="28">
      <formula>#REF!="RECEBIDO"</formula>
    </cfRule>
    <cfRule type="expression" dxfId="6" priority="29">
      <formula>#REF!="EM ROTA"</formula>
    </cfRule>
    <cfRule type="expression" dxfId="5" priority="24">
      <formula>#REF!="CONCLUIDO"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customXml/itemProps3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VW DAF</vt:lpstr>
      <vt:lpstr>FRETE MÁQUINAS</vt:lpstr>
      <vt:lpstr>PEDIDO COMPRA</vt:lpstr>
      <vt:lpstr>FRETE PEÇAS</vt:lpstr>
      <vt:lpstr>UTIL</vt:lpstr>
      <vt:lpstr>CUSTOS</vt:lpstr>
      <vt:lpstr>DEMO NOV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2025-11-18T13:17:24Z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